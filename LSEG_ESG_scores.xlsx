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ugustinloirat/Library/CloudStorage/GoogleDrive-augustin-21@hotmail.fr/Mon Drive/MBA/Memoire_Volatilite_Implicite/"/>
    </mc:Choice>
  </mc:AlternateContent>
  <xr:revisionPtr revIDLastSave="0" documentId="13_ncr:1_{C81F5611-7555-504E-9BD0-94A50A28247E}" xr6:coauthVersionLast="47" xr6:coauthVersionMax="47" xr10:uidLastSave="{00000000-0000-0000-0000-000000000000}"/>
  <bookViews>
    <workbookView xWindow="0" yWindow="600" windowWidth="28800" windowHeight="15800" xr2:uid="{00000000-000D-0000-FFFF-FFFF00000000}"/>
  </bookViews>
  <sheets>
    <sheet name="ESG Summary" sheetId="1" r:id="rId1"/>
    <sheet name="Subscores" sheetId="2" r:id="rId2"/>
    <sheet name="Universe Check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" l="1"/>
  <c r="H19" i="1"/>
  <c r="I19" i="1" s="1"/>
  <c r="H20" i="1"/>
  <c r="I20" i="1" s="1"/>
  <c r="L19" i="1"/>
  <c r="L18" i="1"/>
  <c r="H18" i="1"/>
  <c r="I18" i="1" s="1"/>
  <c r="L17" i="1"/>
  <c r="H17" i="1"/>
  <c r="I17" i="1" s="1"/>
  <c r="L16" i="1"/>
  <c r="H16" i="1"/>
  <c r="I16" i="1" s="1"/>
  <c r="L15" i="1"/>
  <c r="H15" i="1"/>
  <c r="I15" i="1" s="1"/>
  <c r="L14" i="1"/>
  <c r="H14" i="1"/>
  <c r="I14" i="1" s="1"/>
  <c r="L13" i="1"/>
  <c r="H13" i="1"/>
  <c r="I13" i="1" s="1"/>
  <c r="L12" i="1"/>
  <c r="H12" i="1"/>
  <c r="I12" i="1" s="1"/>
  <c r="L11" i="1"/>
  <c r="H11" i="1"/>
  <c r="I11" i="1" s="1"/>
  <c r="L10" i="1"/>
  <c r="H10" i="1"/>
  <c r="I10" i="1" s="1"/>
  <c r="L9" i="1"/>
  <c r="H9" i="1"/>
  <c r="I9" i="1" s="1"/>
  <c r="L8" i="1"/>
  <c r="H8" i="1"/>
  <c r="I8" i="1" s="1"/>
  <c r="L7" i="1"/>
  <c r="H7" i="1"/>
  <c r="I7" i="1" s="1"/>
  <c r="L6" i="1"/>
  <c r="H6" i="1"/>
  <c r="I6" i="1" s="1"/>
  <c r="L5" i="1"/>
  <c r="H5" i="1"/>
  <c r="I5" i="1" s="1"/>
  <c r="L4" i="1"/>
  <c r="H4" i="1"/>
  <c r="I4" i="1" s="1"/>
  <c r="L3" i="1"/>
  <c r="H3" i="1"/>
  <c r="I3" i="1" s="1"/>
  <c r="L2" i="1"/>
  <c r="H2" i="1"/>
  <c r="I2" i="1" s="1"/>
</calcChain>
</file>

<file path=xl/sharedStrings.xml><?xml version="1.0" encoding="utf-8"?>
<sst xmlns="http://schemas.openxmlformats.org/spreadsheetml/2006/main" count="1099" uniqueCount="100">
  <si>
    <t>Ticker</t>
  </si>
  <si>
    <t>Company</t>
  </si>
  <si>
    <t>Reported FY</t>
  </si>
  <si>
    <t>ESG Score</t>
  </si>
  <si>
    <t>Environmental</t>
  </si>
  <si>
    <t>Social</t>
  </si>
  <si>
    <t>Governance</t>
  </si>
  <si>
    <t>Simple E/S/G Avg</t>
  </si>
  <si>
    <t>ESG - Avg</t>
  </si>
  <si>
    <t>Rank</t>
  </si>
  <si>
    <t>Rank Out Of</t>
  </si>
  <si>
    <t>Rank Percentile</t>
  </si>
  <si>
    <t>Industry</t>
  </si>
  <si>
    <t>Portfolio Status</t>
  </si>
  <si>
    <t>Source</t>
  </si>
  <si>
    <t>AAPL</t>
  </si>
  <si>
    <t>Apple Inc</t>
  </si>
  <si>
    <t>Computers Phones &amp; Household Electronics</t>
  </si>
  <si>
    <t>Expected universe</t>
  </si>
  <si>
    <t>https://www.lseg.com/en/data-analytics/sustainable-finance/sustainability-ratings-and-data</t>
  </si>
  <si>
    <t>MSFT</t>
  </si>
  <si>
    <t>Microsoft Corp</t>
  </si>
  <si>
    <t>Software &amp; IT Services</t>
  </si>
  <si>
    <t>NVDA</t>
  </si>
  <si>
    <t>NVIDIA Corp</t>
  </si>
  <si>
    <t>Semiconductors &amp; Semiconductor Equipment</t>
  </si>
  <si>
    <t>GOOGL</t>
  </si>
  <si>
    <t>Alphabet Inc</t>
  </si>
  <si>
    <t>META</t>
  </si>
  <si>
    <t>Meta Platforms Inc</t>
  </si>
  <si>
    <t>AVGO</t>
  </si>
  <si>
    <t>Broadcom Inc</t>
  </si>
  <si>
    <t>Extra in PDF</t>
  </si>
  <si>
    <t>JPM</t>
  </si>
  <si>
    <t>JPMorgan Chase &amp; Co</t>
  </si>
  <si>
    <t>Banking Services</t>
  </si>
  <si>
    <t>GS</t>
  </si>
  <si>
    <t>Goldman Sachs Group Inc</t>
  </si>
  <si>
    <t>Investment Banking &amp; Investment Services</t>
  </si>
  <si>
    <t>BAC</t>
  </si>
  <si>
    <t>Bank of America Corp</t>
  </si>
  <si>
    <t>KO</t>
  </si>
  <si>
    <t>Coca-Cola Co</t>
  </si>
  <si>
    <t>Beverages</t>
  </si>
  <si>
    <t>PEP</t>
  </si>
  <si>
    <t>PepsiCo Inc</t>
  </si>
  <si>
    <t>PG</t>
  </si>
  <si>
    <t>Procter &amp; Gamble Co</t>
  </si>
  <si>
    <t>Personal &amp; Household Products &amp; Services</t>
  </si>
  <si>
    <t>JNJ</t>
  </si>
  <si>
    <t>Johnson &amp; Johnson</t>
  </si>
  <si>
    <t>Pharmaceuticals</t>
  </si>
  <si>
    <t>UNH</t>
  </si>
  <si>
    <t>UnitedHealth Group Inc</t>
  </si>
  <si>
    <t>Healthcare Providers &amp; Services</t>
  </si>
  <si>
    <t>XOM</t>
  </si>
  <si>
    <t>Exxon Mobil Corp</t>
  </si>
  <si>
    <t>Oil &amp; Gas</t>
  </si>
  <si>
    <t>CVX</t>
  </si>
  <si>
    <t>Chevron Corp</t>
  </si>
  <si>
    <t>CAT</t>
  </si>
  <si>
    <t>Caterpillar Inc</t>
  </si>
  <si>
    <t>Machinery Tools Heavy Vehicles Trains &amp; Ships</t>
  </si>
  <si>
    <t>HON</t>
  </si>
  <si>
    <t>Honeywell International Inc</t>
  </si>
  <si>
    <t>Consumer Goods Conglomerates</t>
  </si>
  <si>
    <t>Pillar</t>
  </si>
  <si>
    <t>Sub-score</t>
  </si>
  <si>
    <t>Score</t>
  </si>
  <si>
    <t>Climate Transition</t>
  </si>
  <si>
    <t>Energy &amp; Resource Use</t>
  </si>
  <si>
    <t>Biodiversity</t>
  </si>
  <si>
    <t>Water Use</t>
  </si>
  <si>
    <t>Waste &amp; Pollution</t>
  </si>
  <si>
    <t>Labour Relations</t>
  </si>
  <si>
    <t>Health &amp; Safety</t>
  </si>
  <si>
    <t>Human Rights &amp; Community</t>
  </si>
  <si>
    <t>Board &amp; Management</t>
  </si>
  <si>
    <t>Shareholder Rights</t>
  </si>
  <si>
    <t>Conduct &amp; Anti-Corruption</t>
  </si>
  <si>
    <t>Tax Transparency &amp; Accounting</t>
  </si>
  <si>
    <t>Status</t>
  </si>
  <si>
    <t>Found</t>
  </si>
  <si>
    <t>ENPH</t>
  </si>
  <si>
    <t>Missing from PDF</t>
  </si>
  <si>
    <t>Extra in PDF / not in expected 16</t>
  </si>
  <si>
    <t>Field</t>
  </si>
  <si>
    <t>Content</t>
  </si>
  <si>
    <t>LSEG ESG Scores Finder screenshots provided in Scores_ESG.pdf</t>
  </si>
  <si>
    <t>Scale</t>
  </si>
  <si>
    <t>Scores are on a 0 to 5 scale: 0 Not engaging, 1 Limited, 2 Developing, 3 Established, 4 Advanced, 5 Leading.</t>
  </si>
  <si>
    <t>Extraction note</t>
  </si>
  <si>
    <t>Values were transcribed from the uploaded PDF screenshots. Use the Universe Check sheet to identify mismatches vs the expected 16-asset universe.</t>
  </si>
  <si>
    <t>Important issue</t>
  </si>
  <si>
    <t>The PDF includes AVGO, UNH and HON as extra companies and does not include ENPH. Keep this sheet if the universe has changed, otherwise retrieve ENPH from LSEG.</t>
  </si>
  <si>
    <t>Suggested optimization input</t>
  </si>
  <si>
    <t>Use the ESG Score column from the ESG Summary sheet for the portfolio ESG constraint.</t>
  </si>
  <si>
    <t>AMZN</t>
  </si>
  <si>
    <t>Amazon Inc</t>
  </si>
  <si>
    <t>Amazon.com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</si>
</sst>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fill>
        <patternFill patternType="solid">
          <bgColor rgb="FFFEF3C7"/>
        </patternFill>
      </fill>
    </dxf>
    <dxf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ESG Score</c:v>
          </c:tx>
          <c:invertIfNegative val="1"/>
          <c:cat>
            <c:strRef>
              <c:f>'ESG Summary'!$A$2:$A$20</c:f>
              <c:strCache>
                <c:ptCount val="19"/>
                <c:pt idx="0">
                  <c:v>AAPL</c:v>
                </c:pt>
                <c:pt idx="1">
                  <c:v>MSFT</c:v>
                </c:pt>
                <c:pt idx="2">
                  <c:v>NVDA</c:v>
                </c:pt>
                <c:pt idx="3">
                  <c:v>GOOGL</c:v>
                </c:pt>
                <c:pt idx="4">
                  <c:v>META</c:v>
                </c:pt>
                <c:pt idx="5">
                  <c:v>AVGO</c:v>
                </c:pt>
                <c:pt idx="6">
                  <c:v>JPM</c:v>
                </c:pt>
                <c:pt idx="7">
                  <c:v>GS</c:v>
                </c:pt>
                <c:pt idx="8">
                  <c:v>BAC</c:v>
                </c:pt>
                <c:pt idx="9">
                  <c:v>KO</c:v>
                </c:pt>
                <c:pt idx="10">
                  <c:v>PEP</c:v>
                </c:pt>
                <c:pt idx="11">
                  <c:v>PG</c:v>
                </c:pt>
                <c:pt idx="12">
                  <c:v>JNJ</c:v>
                </c:pt>
                <c:pt idx="13">
                  <c:v>UNH</c:v>
                </c:pt>
                <c:pt idx="14">
                  <c:v>XOM</c:v>
                </c:pt>
                <c:pt idx="15">
                  <c:v>CVX</c:v>
                </c:pt>
                <c:pt idx="16">
                  <c:v>CAT</c:v>
                </c:pt>
                <c:pt idx="17">
                  <c:v>HON</c:v>
                </c:pt>
                <c:pt idx="18">
                  <c:v>AMZN</c:v>
                </c:pt>
              </c:strCache>
            </c:strRef>
          </c:cat>
          <c:val>
            <c:numRef>
              <c:f>'ESG Summary'!$D$2:$D$20</c:f>
              <c:numCache>
                <c:formatCode>0.0</c:formatCode>
                <c:ptCount val="19"/>
                <c:pt idx="0">
                  <c:v>3.4</c:v>
                </c:pt>
                <c:pt idx="1">
                  <c:v>3.3</c:v>
                </c:pt>
                <c:pt idx="2">
                  <c:v>3.3</c:v>
                </c:pt>
                <c:pt idx="3">
                  <c:v>3</c:v>
                </c:pt>
                <c:pt idx="4">
                  <c:v>3.2</c:v>
                </c:pt>
                <c:pt idx="5">
                  <c:v>3</c:v>
                </c:pt>
                <c:pt idx="6">
                  <c:v>2.9</c:v>
                </c:pt>
                <c:pt idx="7">
                  <c:v>3.3</c:v>
                </c:pt>
                <c:pt idx="8">
                  <c:v>3.1</c:v>
                </c:pt>
                <c:pt idx="9">
                  <c:v>2.7</c:v>
                </c:pt>
                <c:pt idx="10">
                  <c:v>3.1</c:v>
                </c:pt>
                <c:pt idx="11">
                  <c:v>2.8</c:v>
                </c:pt>
                <c:pt idx="12">
                  <c:v>3.8</c:v>
                </c:pt>
                <c:pt idx="13">
                  <c:v>2.7</c:v>
                </c:pt>
                <c:pt idx="14">
                  <c:v>3</c:v>
                </c:pt>
                <c:pt idx="15">
                  <c:v>3.1</c:v>
                </c:pt>
                <c:pt idx="16">
                  <c:v>3</c:v>
                </c:pt>
                <c:pt idx="17">
                  <c:v>3.3</c:v>
                </c:pt>
                <c:pt idx="18" formatCode="General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1-2341-9F66-92B9C7AEB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21</xdr:row>
      <xdr:rowOff>25400</xdr:rowOff>
    </xdr:from>
    <xdr:to>
      <xdr:col>6</xdr:col>
      <xdr:colOff>139700</xdr:colOff>
      <xdr:row>42</xdr:row>
      <xdr:rowOff>25400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SGSummaryTable" displayName="ESGSummaryTable" ref="A1:O20">
  <tableColumns count="15">
    <tableColumn id="1" xr3:uid="{00000000-0010-0000-0000-000001000000}" name="Ticker"/>
    <tableColumn id="2" xr3:uid="{00000000-0010-0000-0000-000002000000}" name="Company"/>
    <tableColumn id="3" xr3:uid="{00000000-0010-0000-0000-000003000000}" name="Reported FY"/>
    <tableColumn id="4" xr3:uid="{00000000-0010-0000-0000-000004000000}" name="ESG Score"/>
    <tableColumn id="5" xr3:uid="{00000000-0010-0000-0000-000005000000}" name="Environmental"/>
    <tableColumn id="6" xr3:uid="{00000000-0010-0000-0000-000006000000}" name="Social"/>
    <tableColumn id="7" xr3:uid="{00000000-0010-0000-0000-000007000000}" name="Governance"/>
    <tableColumn id="8" xr3:uid="{00000000-0010-0000-0000-000008000000}" name="Simple E/S/G Avg"/>
    <tableColumn id="9" xr3:uid="{00000000-0010-0000-0000-000009000000}" name="ESG - Avg"/>
    <tableColumn id="10" xr3:uid="{00000000-0010-0000-0000-00000A000000}" name="Rank"/>
    <tableColumn id="11" xr3:uid="{00000000-0010-0000-0000-00000B000000}" name="Rank Out Of"/>
    <tableColumn id="12" xr3:uid="{00000000-0010-0000-0000-00000C000000}" name="Rank Percentile"/>
    <tableColumn id="13" xr3:uid="{00000000-0010-0000-0000-00000D000000}" name="Industry"/>
    <tableColumn id="14" xr3:uid="{00000000-0010-0000-0000-00000E000000}" name="Portfolio Status"/>
    <tableColumn id="15" xr3:uid="{00000000-0010-0000-0000-00000F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SGSubscoresTable" displayName="ESGSubscoresTable" ref="A1:E229">
  <tableColumns count="5">
    <tableColumn id="1" xr3:uid="{00000000-0010-0000-0100-000001000000}" name="Ticker"/>
    <tableColumn id="2" xr3:uid="{00000000-0010-0000-0100-000002000000}" name="Company"/>
    <tableColumn id="3" xr3:uid="{00000000-0010-0000-0100-000003000000}" name="Pillar"/>
    <tableColumn id="4" xr3:uid="{00000000-0010-0000-0100-000004000000}" name="Sub-score"/>
    <tableColumn id="5" xr3:uid="{00000000-0010-0000-0100-000005000000}" name="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niverseCheckTable" displayName="UniverseCheckTable" ref="A1:D20">
  <tableColumns count="4">
    <tableColumn id="1" xr3:uid="{00000000-0010-0000-0200-000001000000}" name="Ticker"/>
    <tableColumn id="2" xr3:uid="{00000000-0010-0000-0200-000002000000}" name="Company"/>
    <tableColumn id="3" xr3:uid="{00000000-0010-0000-0200-000003000000}" name="Status"/>
    <tableColumn id="4" xr3:uid="{00000000-0010-0000-0200-000004000000}" name="ESG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L23" sqref="L23"/>
    </sheetView>
  </sheetViews>
  <sheetFormatPr baseColWidth="10" defaultColWidth="8.83203125" defaultRowHeight="15"/>
  <cols>
    <col min="1" max="1" width="10" customWidth="1"/>
    <col min="2" max="2" width="30" customWidth="1"/>
    <col min="3" max="4" width="12" customWidth="1"/>
    <col min="5" max="5" width="14" customWidth="1"/>
    <col min="6" max="6" width="10" customWidth="1"/>
    <col min="7" max="7" width="12" customWidth="1"/>
    <col min="8" max="8" width="15" customWidth="1"/>
    <col min="9" max="9" width="12" customWidth="1"/>
    <col min="10" max="10" width="8" customWidth="1"/>
    <col min="11" max="11" width="12" customWidth="1"/>
    <col min="12" max="12" width="14" customWidth="1"/>
    <col min="13" max="13" width="38" customWidth="1"/>
    <col min="14" max="14" width="20" customWidth="1"/>
    <col min="15" max="15" width="75.83203125" bestFit="1" customWidth="1"/>
  </cols>
  <sheetData>
    <row r="1" spans="1:15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2025</v>
      </c>
      <c r="D2" s="2">
        <v>3.4</v>
      </c>
      <c r="E2" s="2">
        <v>3.5</v>
      </c>
      <c r="F2" s="2">
        <v>2.2999999999999998</v>
      </c>
      <c r="G2" s="2">
        <v>4.5</v>
      </c>
      <c r="H2" s="2">
        <f>AVERAGE(E2:G2)</f>
        <v>3.4333333333333336</v>
      </c>
      <c r="I2" s="2">
        <f>D2-H2</f>
        <v>-3.3333333333333659E-2</v>
      </c>
      <c r="J2" s="3">
        <v>21</v>
      </c>
      <c r="K2" s="3">
        <v>109</v>
      </c>
      <c r="L2" s="4">
        <f>1-J2/K2</f>
        <v>0.80733944954128445</v>
      </c>
      <c r="M2" t="s">
        <v>17</v>
      </c>
      <c r="N2" t="s">
        <v>18</v>
      </c>
      <c r="O2" t="s">
        <v>19</v>
      </c>
    </row>
    <row r="3" spans="1:15">
      <c r="A3" t="s">
        <v>20</v>
      </c>
      <c r="B3" t="s">
        <v>21</v>
      </c>
      <c r="C3">
        <v>2024</v>
      </c>
      <c r="D3" s="2">
        <v>3.3</v>
      </c>
      <c r="E3" s="2">
        <v>3.8</v>
      </c>
      <c r="F3" s="2">
        <v>3.3</v>
      </c>
      <c r="G3" s="2">
        <v>3.2</v>
      </c>
      <c r="H3" s="2">
        <f>AVERAGE(E3:G3)</f>
        <v>3.4333333333333336</v>
      </c>
      <c r="I3" s="2">
        <f>D3-H3</f>
        <v>-0.13333333333333375</v>
      </c>
      <c r="J3" s="3">
        <v>44</v>
      </c>
      <c r="K3" s="3">
        <v>781</v>
      </c>
      <c r="L3" s="4">
        <f>1-J3/K3</f>
        <v>0.94366197183098588</v>
      </c>
      <c r="M3" t="s">
        <v>22</v>
      </c>
      <c r="N3" t="s">
        <v>18</v>
      </c>
      <c r="O3" t="s">
        <v>19</v>
      </c>
    </row>
    <row r="4" spans="1:15">
      <c r="A4" t="s">
        <v>23</v>
      </c>
      <c r="B4" t="s">
        <v>24</v>
      </c>
      <c r="C4">
        <v>2025</v>
      </c>
      <c r="D4" s="2">
        <v>3.3</v>
      </c>
      <c r="E4" s="2">
        <v>2.7</v>
      </c>
      <c r="F4" s="2">
        <v>3.7</v>
      </c>
      <c r="G4" s="2">
        <v>3.5</v>
      </c>
      <c r="H4" s="2">
        <f>AVERAGE(E4:G4)</f>
        <v>3.3000000000000003</v>
      </c>
      <c r="I4" s="2">
        <f>D4-H4</f>
        <v>0</v>
      </c>
      <c r="J4" s="3">
        <v>43</v>
      </c>
      <c r="K4" s="3">
        <v>255</v>
      </c>
      <c r="L4" s="4">
        <f>1-J4/K4</f>
        <v>0.83137254901960778</v>
      </c>
      <c r="M4" t="s">
        <v>25</v>
      </c>
      <c r="N4" t="s">
        <v>18</v>
      </c>
      <c r="O4" t="s">
        <v>19</v>
      </c>
    </row>
    <row r="5" spans="1:15">
      <c r="A5" t="s">
        <v>26</v>
      </c>
      <c r="B5" t="s">
        <v>27</v>
      </c>
      <c r="C5">
        <v>2024</v>
      </c>
      <c r="D5" s="2">
        <v>3</v>
      </c>
      <c r="E5" s="2">
        <v>3.8</v>
      </c>
      <c r="F5" s="2">
        <v>1.3</v>
      </c>
      <c r="G5" s="2">
        <v>3.5</v>
      </c>
      <c r="H5" s="2">
        <f>AVERAGE(E5:G5)</f>
        <v>2.8666666666666667</v>
      </c>
      <c r="I5" s="2">
        <f>D5-H5</f>
        <v>0.1333333333333333</v>
      </c>
      <c r="J5" s="3">
        <v>92</v>
      </c>
      <c r="K5" s="3">
        <v>781</v>
      </c>
      <c r="L5" s="4">
        <f>1-J5/K5</f>
        <v>0.88220230473751604</v>
      </c>
      <c r="M5" t="s">
        <v>22</v>
      </c>
      <c r="N5" t="s">
        <v>18</v>
      </c>
      <c r="O5" t="s">
        <v>19</v>
      </c>
    </row>
    <row r="6" spans="1:15">
      <c r="A6" t="s">
        <v>28</v>
      </c>
      <c r="B6" t="s">
        <v>29</v>
      </c>
      <c r="C6">
        <v>2024</v>
      </c>
      <c r="D6" s="2">
        <v>3.2</v>
      </c>
      <c r="E6" s="2">
        <v>3.3</v>
      </c>
      <c r="F6" s="2">
        <v>3.5</v>
      </c>
      <c r="G6" s="2">
        <v>3.1</v>
      </c>
      <c r="H6" s="2">
        <f>AVERAGE(E6:G6)</f>
        <v>3.3000000000000003</v>
      </c>
      <c r="I6" s="2">
        <f>D6-H6</f>
        <v>-0.10000000000000009</v>
      </c>
      <c r="J6" s="3">
        <v>58</v>
      </c>
      <c r="K6" s="3">
        <v>781</v>
      </c>
      <c r="L6" s="4">
        <f>1-J6/K6</f>
        <v>0.92573623559539053</v>
      </c>
      <c r="M6" t="s">
        <v>22</v>
      </c>
      <c r="N6" t="s">
        <v>18</v>
      </c>
      <c r="O6" t="s">
        <v>19</v>
      </c>
    </row>
    <row r="7" spans="1:15">
      <c r="A7" t="s">
        <v>30</v>
      </c>
      <c r="B7" t="s">
        <v>31</v>
      </c>
      <c r="C7">
        <v>2025</v>
      </c>
      <c r="D7" s="2">
        <v>3</v>
      </c>
      <c r="E7" s="2">
        <v>2.8</v>
      </c>
      <c r="F7" s="2">
        <v>3.3</v>
      </c>
      <c r="G7" s="2">
        <v>2.9</v>
      </c>
      <c r="H7" s="2">
        <f>AVERAGE(E7:G7)</f>
        <v>3</v>
      </c>
      <c r="I7" s="2">
        <f>D7-H7</f>
        <v>0</v>
      </c>
      <c r="J7" s="3">
        <v>76</v>
      </c>
      <c r="K7" s="3">
        <v>255</v>
      </c>
      <c r="L7" s="4">
        <f>1-J7/K7</f>
        <v>0.70196078431372544</v>
      </c>
      <c r="M7" t="s">
        <v>25</v>
      </c>
      <c r="N7" t="s">
        <v>32</v>
      </c>
      <c r="O7" t="s">
        <v>19</v>
      </c>
    </row>
    <row r="8" spans="1:15">
      <c r="A8" t="s">
        <v>33</v>
      </c>
      <c r="B8" t="s">
        <v>34</v>
      </c>
      <c r="C8">
        <v>2024</v>
      </c>
      <c r="D8" s="2">
        <v>2.9</v>
      </c>
      <c r="E8" s="2">
        <v>3.5</v>
      </c>
      <c r="F8" s="2">
        <v>2</v>
      </c>
      <c r="G8" s="2">
        <v>2.9</v>
      </c>
      <c r="H8" s="2">
        <f>AVERAGE(E8:G8)</f>
        <v>2.8000000000000003</v>
      </c>
      <c r="I8" s="2">
        <f>D8-H8</f>
        <v>9.9999999999999645E-2</v>
      </c>
      <c r="J8" s="3">
        <v>129</v>
      </c>
      <c r="K8" s="3">
        <v>933</v>
      </c>
      <c r="L8" s="4">
        <f>1-J8/K8</f>
        <v>0.86173633440514474</v>
      </c>
      <c r="M8" t="s">
        <v>35</v>
      </c>
      <c r="N8" t="s">
        <v>18</v>
      </c>
      <c r="O8" t="s">
        <v>19</v>
      </c>
    </row>
    <row r="9" spans="1:15">
      <c r="A9" t="s">
        <v>36</v>
      </c>
      <c r="B9" t="s">
        <v>37</v>
      </c>
      <c r="C9">
        <v>2024</v>
      </c>
      <c r="D9" s="2">
        <v>3.3</v>
      </c>
      <c r="E9" s="2">
        <v>4</v>
      </c>
      <c r="F9" s="2">
        <v>1.5</v>
      </c>
      <c r="G9" s="2">
        <v>3.4</v>
      </c>
      <c r="H9" s="2">
        <f>AVERAGE(E9:G9)</f>
        <v>2.9666666666666668</v>
      </c>
      <c r="I9" s="2">
        <f>D9-H9</f>
        <v>0.33333333333333304</v>
      </c>
      <c r="J9" s="3">
        <v>28</v>
      </c>
      <c r="K9" s="3">
        <v>369</v>
      </c>
      <c r="L9" s="4">
        <f>1-J9/K9</f>
        <v>0.92411924119241196</v>
      </c>
      <c r="M9" t="s">
        <v>38</v>
      </c>
      <c r="N9" t="s">
        <v>18</v>
      </c>
      <c r="O9" t="s">
        <v>19</v>
      </c>
    </row>
    <row r="10" spans="1:15">
      <c r="A10" t="s">
        <v>39</v>
      </c>
      <c r="B10" t="s">
        <v>40</v>
      </c>
      <c r="C10">
        <v>2024</v>
      </c>
      <c r="D10" s="2">
        <v>3.1</v>
      </c>
      <c r="E10" s="2">
        <v>3</v>
      </c>
      <c r="F10" s="2">
        <v>4.5</v>
      </c>
      <c r="G10" s="2">
        <v>2.9</v>
      </c>
      <c r="H10" s="2">
        <f>AVERAGE(E10:G10)</f>
        <v>3.4666666666666668</v>
      </c>
      <c r="I10" s="2">
        <f>D10-H10</f>
        <v>-0.3666666666666667</v>
      </c>
      <c r="J10" s="3">
        <v>93</v>
      </c>
      <c r="K10" s="3">
        <v>933</v>
      </c>
      <c r="L10" s="4">
        <f>1-J10/K10</f>
        <v>0.90032154340836013</v>
      </c>
      <c r="M10" t="s">
        <v>35</v>
      </c>
      <c r="N10" t="s">
        <v>18</v>
      </c>
      <c r="O10" t="s">
        <v>19</v>
      </c>
    </row>
    <row r="11" spans="1:15">
      <c r="A11" t="s">
        <v>41</v>
      </c>
      <c r="B11" t="s">
        <v>42</v>
      </c>
      <c r="C11">
        <v>2024</v>
      </c>
      <c r="D11" s="2">
        <v>2.7</v>
      </c>
      <c r="E11" s="2">
        <v>1.9</v>
      </c>
      <c r="F11" s="2">
        <v>2.9</v>
      </c>
      <c r="G11" s="2">
        <v>3.8</v>
      </c>
      <c r="H11" s="2">
        <f>AVERAGE(E11:G11)</f>
        <v>2.8666666666666667</v>
      </c>
      <c r="I11" s="2">
        <f>D11-H11</f>
        <v>-0.16666666666666652</v>
      </c>
      <c r="J11" s="3">
        <v>49</v>
      </c>
      <c r="K11" s="3">
        <v>116</v>
      </c>
      <c r="L11" s="4">
        <f>1-J11/K11</f>
        <v>0.57758620689655171</v>
      </c>
      <c r="M11" t="s">
        <v>43</v>
      </c>
      <c r="N11" t="s">
        <v>18</v>
      </c>
      <c r="O11" t="s">
        <v>19</v>
      </c>
    </row>
    <row r="12" spans="1:15">
      <c r="A12" t="s">
        <v>44</v>
      </c>
      <c r="B12" t="s">
        <v>45</v>
      </c>
      <c r="C12">
        <v>2024</v>
      </c>
      <c r="D12" s="2">
        <v>3.1</v>
      </c>
      <c r="E12" s="2">
        <v>2.9</v>
      </c>
      <c r="F12" s="2">
        <v>2.9</v>
      </c>
      <c r="G12" s="2">
        <v>3.6</v>
      </c>
      <c r="H12" s="2">
        <f>AVERAGE(E12:G12)</f>
        <v>3.1333333333333333</v>
      </c>
      <c r="I12" s="2">
        <f>D12-H12</f>
        <v>-3.3333333333333215E-2</v>
      </c>
      <c r="J12" s="3">
        <v>23</v>
      </c>
      <c r="K12" s="3">
        <v>116</v>
      </c>
      <c r="L12" s="4">
        <f>1-J12/K12</f>
        <v>0.80172413793103448</v>
      </c>
      <c r="M12" t="s">
        <v>43</v>
      </c>
      <c r="N12" t="s">
        <v>18</v>
      </c>
      <c r="O12" t="s">
        <v>19</v>
      </c>
    </row>
    <row r="13" spans="1:15">
      <c r="A13" t="s">
        <v>46</v>
      </c>
      <c r="B13" t="s">
        <v>47</v>
      </c>
      <c r="C13">
        <v>2024</v>
      </c>
      <c r="D13" s="2">
        <v>2.8</v>
      </c>
      <c r="E13" s="2">
        <v>2.5</v>
      </c>
      <c r="F13" s="2">
        <v>2.2999999999999998</v>
      </c>
      <c r="G13" s="2">
        <v>4</v>
      </c>
      <c r="H13" s="2">
        <f>AVERAGE(E13:G13)</f>
        <v>2.9333333333333336</v>
      </c>
      <c r="I13" s="2">
        <f>D13-H13</f>
        <v>-0.13333333333333375</v>
      </c>
      <c r="J13" s="3">
        <v>31</v>
      </c>
      <c r="K13" s="3">
        <v>95</v>
      </c>
      <c r="L13" s="4">
        <f>1-J13/K13</f>
        <v>0.67368421052631577</v>
      </c>
      <c r="M13" t="s">
        <v>48</v>
      </c>
      <c r="N13" t="s">
        <v>18</v>
      </c>
      <c r="O13" t="s">
        <v>19</v>
      </c>
    </row>
    <row r="14" spans="1:15">
      <c r="A14" t="s">
        <v>49</v>
      </c>
      <c r="B14" t="s">
        <v>50</v>
      </c>
      <c r="C14">
        <v>2024</v>
      </c>
      <c r="D14" s="2">
        <v>3.8</v>
      </c>
      <c r="E14" s="2">
        <v>3.7</v>
      </c>
      <c r="F14" s="2">
        <v>3.7</v>
      </c>
      <c r="G14" s="2">
        <v>4</v>
      </c>
      <c r="H14" s="2">
        <f>AVERAGE(E14:G14)</f>
        <v>3.8000000000000003</v>
      </c>
      <c r="I14" s="2">
        <f>D14-H14</f>
        <v>0</v>
      </c>
      <c r="J14" s="3">
        <v>5</v>
      </c>
      <c r="K14" s="3">
        <v>410</v>
      </c>
      <c r="L14" s="4">
        <f>1-J14/K14</f>
        <v>0.98780487804878048</v>
      </c>
      <c r="M14" t="s">
        <v>51</v>
      </c>
      <c r="N14" t="s">
        <v>18</v>
      </c>
      <c r="O14" t="s">
        <v>19</v>
      </c>
    </row>
    <row r="15" spans="1:15">
      <c r="A15" t="s">
        <v>52</v>
      </c>
      <c r="B15" t="s">
        <v>53</v>
      </c>
      <c r="C15">
        <v>2024</v>
      </c>
      <c r="D15" s="2">
        <v>2.7</v>
      </c>
      <c r="E15" s="2">
        <v>2.4</v>
      </c>
      <c r="F15" s="2">
        <v>1.7</v>
      </c>
      <c r="G15" s="2">
        <v>3.4</v>
      </c>
      <c r="H15" s="2">
        <f>AVERAGE(E15:G15)</f>
        <v>2.5</v>
      </c>
      <c r="I15" s="2">
        <f>D15-H15</f>
        <v>0.20000000000000018</v>
      </c>
      <c r="J15" s="3">
        <v>15</v>
      </c>
      <c r="K15" s="3">
        <v>171</v>
      </c>
      <c r="L15" s="4">
        <f>1-J15/K15</f>
        <v>0.91228070175438591</v>
      </c>
      <c r="M15" t="s">
        <v>54</v>
      </c>
      <c r="N15" t="s">
        <v>32</v>
      </c>
      <c r="O15" t="s">
        <v>19</v>
      </c>
    </row>
    <row r="16" spans="1:15">
      <c r="A16" t="s">
        <v>55</v>
      </c>
      <c r="B16" t="s">
        <v>56</v>
      </c>
      <c r="C16">
        <v>2024</v>
      </c>
      <c r="D16" s="2">
        <v>3</v>
      </c>
      <c r="E16" s="2">
        <v>3.2</v>
      </c>
      <c r="F16" s="2">
        <v>2.7</v>
      </c>
      <c r="G16" s="2">
        <v>3.1</v>
      </c>
      <c r="H16" s="2">
        <f>AVERAGE(E16:G16)</f>
        <v>3</v>
      </c>
      <c r="I16" s="2">
        <f>D16-H16</f>
        <v>0</v>
      </c>
      <c r="J16" s="3">
        <v>60</v>
      </c>
      <c r="K16" s="3">
        <v>254</v>
      </c>
      <c r="L16" s="4">
        <f>1-J16/K16</f>
        <v>0.76377952755905509</v>
      </c>
      <c r="M16" t="s">
        <v>57</v>
      </c>
      <c r="N16" t="s">
        <v>18</v>
      </c>
      <c r="O16" t="s">
        <v>19</v>
      </c>
    </row>
    <row r="17" spans="1:15">
      <c r="A17" t="s">
        <v>58</v>
      </c>
      <c r="B17" t="s">
        <v>59</v>
      </c>
      <c r="C17">
        <v>2024</v>
      </c>
      <c r="D17" s="2">
        <v>3.1</v>
      </c>
      <c r="E17" s="2">
        <v>3.1</v>
      </c>
      <c r="F17" s="2">
        <v>3.3</v>
      </c>
      <c r="G17" s="2">
        <v>2.9</v>
      </c>
      <c r="H17" s="2">
        <f>AVERAGE(E17:G17)</f>
        <v>3.1</v>
      </c>
      <c r="I17" s="2">
        <f>D17-H17</f>
        <v>0</v>
      </c>
      <c r="J17" s="3">
        <v>52</v>
      </c>
      <c r="K17" s="3">
        <v>254</v>
      </c>
      <c r="L17" s="4">
        <f>1-J17/K17</f>
        <v>0.79527559055118113</v>
      </c>
      <c r="M17" t="s">
        <v>57</v>
      </c>
      <c r="N17" t="s">
        <v>18</v>
      </c>
      <c r="O17" t="s">
        <v>19</v>
      </c>
    </row>
    <row r="18" spans="1:15">
      <c r="A18" t="s">
        <v>60</v>
      </c>
      <c r="B18" t="s">
        <v>61</v>
      </c>
      <c r="C18">
        <v>2024</v>
      </c>
      <c r="D18" s="2">
        <v>3</v>
      </c>
      <c r="E18" s="2">
        <v>3</v>
      </c>
      <c r="F18" s="2">
        <v>3</v>
      </c>
      <c r="G18" s="2">
        <v>2.9</v>
      </c>
      <c r="H18" s="2">
        <f>AVERAGE(E18:G18)</f>
        <v>2.9666666666666668</v>
      </c>
      <c r="I18" s="2">
        <f>D18-H18</f>
        <v>3.3333333333333215E-2</v>
      </c>
      <c r="J18" s="3">
        <v>134</v>
      </c>
      <c r="K18" s="3">
        <v>638</v>
      </c>
      <c r="L18" s="4">
        <f>1-J18/K18</f>
        <v>0.78996865203761757</v>
      </c>
      <c r="M18" t="s">
        <v>62</v>
      </c>
      <c r="N18" t="s">
        <v>18</v>
      </c>
      <c r="O18" t="s">
        <v>19</v>
      </c>
    </row>
    <row r="19" spans="1:15">
      <c r="A19" t="s">
        <v>63</v>
      </c>
      <c r="B19" t="s">
        <v>64</v>
      </c>
      <c r="C19">
        <v>2025</v>
      </c>
      <c r="D19" s="2">
        <v>3.3</v>
      </c>
      <c r="E19" s="2">
        <v>3.1</v>
      </c>
      <c r="F19" s="2">
        <v>2.1</v>
      </c>
      <c r="G19" s="2">
        <v>3</v>
      </c>
      <c r="H19" s="2">
        <f>AVERAGE(E19:G19)</f>
        <v>2.7333333333333329</v>
      </c>
      <c r="I19" s="2">
        <f>D19-H19</f>
        <v>0.56666666666666687</v>
      </c>
      <c r="J19" s="3">
        <v>16</v>
      </c>
      <c r="K19" s="3">
        <v>65</v>
      </c>
      <c r="L19" s="4">
        <f>1-J19/K19</f>
        <v>0.75384615384615383</v>
      </c>
      <c r="M19" t="s">
        <v>65</v>
      </c>
      <c r="N19" t="s">
        <v>32</v>
      </c>
      <c r="O19" t="s">
        <v>19</v>
      </c>
    </row>
    <row r="20" spans="1:15">
      <c r="A20" t="s">
        <v>97</v>
      </c>
      <c r="B20" t="s">
        <v>98</v>
      </c>
      <c r="C20">
        <v>2024</v>
      </c>
      <c r="D20">
        <v>3.3</v>
      </c>
      <c r="E20">
        <v>2.9</v>
      </c>
      <c r="F20">
        <v>3.3</v>
      </c>
      <c r="G20">
        <v>3.8</v>
      </c>
      <c r="H20" s="2">
        <f>AVERAGE(E20:G20)</f>
        <v>3.3333333333333335</v>
      </c>
      <c r="I20" s="2">
        <f>D20-H20</f>
        <v>-3.3333333333333659E-2</v>
      </c>
      <c r="J20">
        <v>6</v>
      </c>
      <c r="K20">
        <v>96</v>
      </c>
      <c r="L20" s="4">
        <f>1-J20/K20</f>
        <v>0.9375</v>
      </c>
      <c r="M20" t="s">
        <v>65</v>
      </c>
      <c r="N20" t="s">
        <v>18</v>
      </c>
      <c r="O20" t="s">
        <v>19</v>
      </c>
    </row>
  </sheetData>
  <conditionalFormatting sqref="D2:G2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9"/>
  <sheetViews>
    <sheetView topLeftCell="A75" workbookViewId="0">
      <selection activeCell="E229" sqref="E229"/>
    </sheetView>
  </sheetViews>
  <sheetFormatPr baseColWidth="10" defaultColWidth="8.83203125" defaultRowHeight="15"/>
  <cols>
    <col min="1" max="1" width="10" customWidth="1"/>
    <col min="2" max="2" width="30" customWidth="1"/>
    <col min="3" max="3" width="16" customWidth="1"/>
    <col min="4" max="4" width="32" customWidth="1"/>
    <col min="5" max="5" width="10" customWidth="1"/>
  </cols>
  <sheetData>
    <row r="1" spans="1:15" ht="16">
      <c r="A1" s="1" t="s">
        <v>0</v>
      </c>
      <c r="B1" s="1" t="s">
        <v>1</v>
      </c>
      <c r="C1" s="1" t="s">
        <v>66</v>
      </c>
      <c r="D1" s="1" t="s">
        <v>67</v>
      </c>
      <c r="E1" s="1" t="s">
        <v>68</v>
      </c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>
      <c r="A2" t="s">
        <v>15</v>
      </c>
      <c r="B2" t="s">
        <v>16</v>
      </c>
      <c r="C2" t="s">
        <v>4</v>
      </c>
      <c r="D2" t="s">
        <v>69</v>
      </c>
      <c r="E2" s="3">
        <v>5</v>
      </c>
    </row>
    <row r="3" spans="1:15">
      <c r="A3" t="s">
        <v>15</v>
      </c>
      <c r="B3" t="s">
        <v>16</v>
      </c>
      <c r="C3" t="s">
        <v>4</v>
      </c>
      <c r="D3" t="s">
        <v>70</v>
      </c>
      <c r="E3" s="3">
        <v>3</v>
      </c>
    </row>
    <row r="4" spans="1:15">
      <c r="A4" t="s">
        <v>15</v>
      </c>
      <c r="B4" t="s">
        <v>16</v>
      </c>
      <c r="C4" t="s">
        <v>4</v>
      </c>
      <c r="D4" t="s">
        <v>71</v>
      </c>
      <c r="E4" s="3">
        <v>3</v>
      </c>
    </row>
    <row r="5" spans="1:15">
      <c r="A5" t="s">
        <v>15</v>
      </c>
      <c r="B5" t="s">
        <v>16</v>
      </c>
      <c r="C5" t="s">
        <v>4</v>
      </c>
      <c r="D5" t="s">
        <v>72</v>
      </c>
      <c r="E5" s="3">
        <v>4</v>
      </c>
    </row>
    <row r="6" spans="1:15">
      <c r="A6" t="s">
        <v>15</v>
      </c>
      <c r="B6" t="s">
        <v>16</v>
      </c>
      <c r="C6" t="s">
        <v>4</v>
      </c>
      <c r="D6" t="s">
        <v>73</v>
      </c>
      <c r="E6" s="3">
        <v>3</v>
      </c>
    </row>
    <row r="7" spans="1:15">
      <c r="A7" t="s">
        <v>15</v>
      </c>
      <c r="B7" t="s">
        <v>16</v>
      </c>
      <c r="C7" t="s">
        <v>5</v>
      </c>
      <c r="D7" t="s">
        <v>74</v>
      </c>
      <c r="E7" s="3">
        <v>3</v>
      </c>
    </row>
    <row r="8" spans="1:15">
      <c r="A8" t="s">
        <v>15</v>
      </c>
      <c r="B8" t="s">
        <v>16</v>
      </c>
      <c r="C8" t="s">
        <v>5</v>
      </c>
      <c r="D8" t="s">
        <v>75</v>
      </c>
      <c r="E8" s="3">
        <v>1</v>
      </c>
    </row>
    <row r="9" spans="1:15">
      <c r="A9" t="s">
        <v>15</v>
      </c>
      <c r="B9" t="s">
        <v>16</v>
      </c>
      <c r="C9" t="s">
        <v>5</v>
      </c>
      <c r="D9" t="s">
        <v>76</v>
      </c>
      <c r="E9" s="3">
        <v>4</v>
      </c>
    </row>
    <row r="10" spans="1:15">
      <c r="A10" t="s">
        <v>15</v>
      </c>
      <c r="B10" t="s">
        <v>16</v>
      </c>
      <c r="C10" t="s">
        <v>6</v>
      </c>
      <c r="D10" t="s">
        <v>77</v>
      </c>
      <c r="E10" s="3">
        <v>5</v>
      </c>
    </row>
    <row r="11" spans="1:15">
      <c r="A11" t="s">
        <v>15</v>
      </c>
      <c r="B11" t="s">
        <v>16</v>
      </c>
      <c r="C11" t="s">
        <v>6</v>
      </c>
      <c r="D11" t="s">
        <v>78</v>
      </c>
      <c r="E11" s="3">
        <v>5</v>
      </c>
    </row>
    <row r="12" spans="1:15">
      <c r="A12" t="s">
        <v>15</v>
      </c>
      <c r="B12" t="s">
        <v>16</v>
      </c>
      <c r="C12" t="s">
        <v>6</v>
      </c>
      <c r="D12" t="s">
        <v>79</v>
      </c>
      <c r="E12" s="3">
        <v>3</v>
      </c>
    </row>
    <row r="13" spans="1:15">
      <c r="A13" t="s">
        <v>15</v>
      </c>
      <c r="B13" t="s">
        <v>16</v>
      </c>
      <c r="C13" t="s">
        <v>6</v>
      </c>
      <c r="D13" t="s">
        <v>80</v>
      </c>
      <c r="E13" s="3">
        <v>3</v>
      </c>
    </row>
    <row r="14" spans="1:15">
      <c r="A14" t="s">
        <v>20</v>
      </c>
      <c r="B14" t="s">
        <v>21</v>
      </c>
      <c r="C14" t="s">
        <v>4</v>
      </c>
      <c r="D14" t="s">
        <v>69</v>
      </c>
      <c r="E14" s="3">
        <v>4</v>
      </c>
    </row>
    <row r="15" spans="1:15">
      <c r="A15" t="s">
        <v>20</v>
      </c>
      <c r="B15" t="s">
        <v>21</v>
      </c>
      <c r="C15" t="s">
        <v>4</v>
      </c>
      <c r="D15" t="s">
        <v>70</v>
      </c>
      <c r="E15" s="3">
        <v>3</v>
      </c>
    </row>
    <row r="16" spans="1:15">
      <c r="A16" t="s">
        <v>20</v>
      </c>
      <c r="B16" t="s">
        <v>21</v>
      </c>
      <c r="C16" t="s">
        <v>4</v>
      </c>
      <c r="D16" t="s">
        <v>71</v>
      </c>
      <c r="E16" s="3">
        <v>4</v>
      </c>
    </row>
    <row r="17" spans="1:5">
      <c r="A17" t="s">
        <v>20</v>
      </c>
      <c r="B17" t="s">
        <v>21</v>
      </c>
      <c r="C17" t="s">
        <v>4</v>
      </c>
      <c r="D17" t="s">
        <v>72</v>
      </c>
      <c r="E17" s="3">
        <v>4</v>
      </c>
    </row>
    <row r="18" spans="1:5">
      <c r="A18" t="s">
        <v>20</v>
      </c>
      <c r="B18" t="s">
        <v>21</v>
      </c>
      <c r="C18" t="s">
        <v>4</v>
      </c>
      <c r="D18" t="s">
        <v>73</v>
      </c>
      <c r="E18" s="3">
        <v>3</v>
      </c>
    </row>
    <row r="19" spans="1:5">
      <c r="A19" t="s">
        <v>20</v>
      </c>
      <c r="B19" t="s">
        <v>21</v>
      </c>
      <c r="C19" t="s">
        <v>5</v>
      </c>
      <c r="D19" t="s">
        <v>74</v>
      </c>
      <c r="E19" s="3">
        <v>3</v>
      </c>
    </row>
    <row r="20" spans="1:5">
      <c r="A20" t="s">
        <v>20</v>
      </c>
      <c r="B20" t="s">
        <v>21</v>
      </c>
      <c r="C20" t="s">
        <v>5</v>
      </c>
      <c r="D20" t="s">
        <v>75</v>
      </c>
      <c r="E20" s="3">
        <v>1</v>
      </c>
    </row>
    <row r="21" spans="1:5">
      <c r="A21" t="s">
        <v>20</v>
      </c>
      <c r="B21" t="s">
        <v>21</v>
      </c>
      <c r="C21" t="s">
        <v>5</v>
      </c>
      <c r="D21" t="s">
        <v>76</v>
      </c>
      <c r="E21" s="3">
        <v>4</v>
      </c>
    </row>
    <row r="22" spans="1:5">
      <c r="A22" t="s">
        <v>20</v>
      </c>
      <c r="B22" t="s">
        <v>21</v>
      </c>
      <c r="C22" t="s">
        <v>6</v>
      </c>
      <c r="D22" t="s">
        <v>77</v>
      </c>
      <c r="E22" s="3">
        <v>3</v>
      </c>
    </row>
    <row r="23" spans="1:5">
      <c r="A23" t="s">
        <v>20</v>
      </c>
      <c r="B23" t="s">
        <v>21</v>
      </c>
      <c r="C23" t="s">
        <v>6</v>
      </c>
      <c r="D23" t="s">
        <v>78</v>
      </c>
      <c r="E23" s="3">
        <v>5</v>
      </c>
    </row>
    <row r="24" spans="1:5">
      <c r="A24" t="s">
        <v>20</v>
      </c>
      <c r="B24" t="s">
        <v>21</v>
      </c>
      <c r="C24" t="s">
        <v>6</v>
      </c>
      <c r="D24" t="s">
        <v>79</v>
      </c>
      <c r="E24" s="3">
        <v>2</v>
      </c>
    </row>
    <row r="25" spans="1:5">
      <c r="A25" t="s">
        <v>20</v>
      </c>
      <c r="B25" t="s">
        <v>21</v>
      </c>
      <c r="C25" t="s">
        <v>6</v>
      </c>
      <c r="D25" t="s">
        <v>80</v>
      </c>
      <c r="E25" s="3">
        <v>3</v>
      </c>
    </row>
    <row r="26" spans="1:5">
      <c r="A26" t="s">
        <v>23</v>
      </c>
      <c r="B26" t="s">
        <v>24</v>
      </c>
      <c r="C26" t="s">
        <v>4</v>
      </c>
      <c r="D26" t="s">
        <v>69</v>
      </c>
      <c r="E26" s="3">
        <v>4</v>
      </c>
    </row>
    <row r="27" spans="1:5">
      <c r="A27" t="s">
        <v>23</v>
      </c>
      <c r="B27" t="s">
        <v>24</v>
      </c>
      <c r="C27" t="s">
        <v>4</v>
      </c>
      <c r="D27" t="s">
        <v>70</v>
      </c>
      <c r="E27" s="3">
        <v>3</v>
      </c>
    </row>
    <row r="28" spans="1:5">
      <c r="A28" t="s">
        <v>23</v>
      </c>
      <c r="B28" t="s">
        <v>24</v>
      </c>
      <c r="C28" t="s">
        <v>4</v>
      </c>
      <c r="D28" t="s">
        <v>71</v>
      </c>
      <c r="E28" s="3">
        <v>0</v>
      </c>
    </row>
    <row r="29" spans="1:5">
      <c r="A29" t="s">
        <v>23</v>
      </c>
      <c r="B29" t="s">
        <v>24</v>
      </c>
      <c r="C29" t="s">
        <v>4</v>
      </c>
      <c r="D29" t="s">
        <v>72</v>
      </c>
      <c r="E29" s="3">
        <v>3</v>
      </c>
    </row>
    <row r="30" spans="1:5">
      <c r="A30" t="s">
        <v>23</v>
      </c>
      <c r="B30" t="s">
        <v>24</v>
      </c>
      <c r="C30" t="s">
        <v>4</v>
      </c>
      <c r="D30" t="s">
        <v>73</v>
      </c>
      <c r="E30" s="3">
        <v>2</v>
      </c>
    </row>
    <row r="31" spans="1:5">
      <c r="A31" t="s">
        <v>23</v>
      </c>
      <c r="B31" t="s">
        <v>24</v>
      </c>
      <c r="C31" t="s">
        <v>5</v>
      </c>
      <c r="D31" t="s">
        <v>74</v>
      </c>
      <c r="E31" s="3">
        <v>4</v>
      </c>
    </row>
    <row r="32" spans="1:5">
      <c r="A32" t="s">
        <v>23</v>
      </c>
      <c r="B32" t="s">
        <v>24</v>
      </c>
      <c r="C32" t="s">
        <v>5</v>
      </c>
      <c r="D32" t="s">
        <v>75</v>
      </c>
      <c r="E32" s="3">
        <v>3</v>
      </c>
    </row>
    <row r="33" spans="1:5">
      <c r="A33" t="s">
        <v>23</v>
      </c>
      <c r="B33" t="s">
        <v>24</v>
      </c>
      <c r="C33" t="s">
        <v>5</v>
      </c>
      <c r="D33" t="s">
        <v>76</v>
      </c>
      <c r="E33" s="3">
        <v>5</v>
      </c>
    </row>
    <row r="34" spans="1:5">
      <c r="A34" t="s">
        <v>23</v>
      </c>
      <c r="B34" t="s">
        <v>24</v>
      </c>
      <c r="C34" t="s">
        <v>6</v>
      </c>
      <c r="D34" t="s">
        <v>77</v>
      </c>
      <c r="E34" s="3">
        <v>3</v>
      </c>
    </row>
    <row r="35" spans="1:5">
      <c r="A35" t="s">
        <v>23</v>
      </c>
      <c r="B35" t="s">
        <v>24</v>
      </c>
      <c r="C35" t="s">
        <v>6</v>
      </c>
      <c r="D35" t="s">
        <v>78</v>
      </c>
      <c r="E35" s="3">
        <v>4</v>
      </c>
    </row>
    <row r="36" spans="1:5">
      <c r="A36" t="s">
        <v>23</v>
      </c>
      <c r="B36" t="s">
        <v>24</v>
      </c>
      <c r="C36" t="s">
        <v>6</v>
      </c>
      <c r="D36" t="s">
        <v>79</v>
      </c>
      <c r="E36" s="3">
        <v>3</v>
      </c>
    </row>
    <row r="37" spans="1:5">
      <c r="A37" t="s">
        <v>23</v>
      </c>
      <c r="B37" t="s">
        <v>24</v>
      </c>
      <c r="C37" t="s">
        <v>6</v>
      </c>
      <c r="D37" t="s">
        <v>80</v>
      </c>
      <c r="E37" s="3">
        <v>4</v>
      </c>
    </row>
    <row r="38" spans="1:5">
      <c r="A38" t="s">
        <v>26</v>
      </c>
      <c r="B38" t="s">
        <v>27</v>
      </c>
      <c r="C38" t="s">
        <v>4</v>
      </c>
      <c r="D38" t="s">
        <v>69</v>
      </c>
      <c r="E38" s="3">
        <v>4</v>
      </c>
    </row>
    <row r="39" spans="1:5">
      <c r="A39" t="s">
        <v>26</v>
      </c>
      <c r="B39" t="s">
        <v>27</v>
      </c>
      <c r="C39" t="s">
        <v>4</v>
      </c>
      <c r="D39" t="s">
        <v>70</v>
      </c>
      <c r="E39" s="3">
        <v>3</v>
      </c>
    </row>
    <row r="40" spans="1:5">
      <c r="A40" t="s">
        <v>26</v>
      </c>
      <c r="B40" t="s">
        <v>27</v>
      </c>
      <c r="C40" t="s">
        <v>4</v>
      </c>
      <c r="D40" t="s">
        <v>71</v>
      </c>
      <c r="E40" s="3">
        <v>2</v>
      </c>
    </row>
    <row r="41" spans="1:5">
      <c r="A41" t="s">
        <v>26</v>
      </c>
      <c r="B41" t="s">
        <v>27</v>
      </c>
      <c r="C41" t="s">
        <v>4</v>
      </c>
      <c r="D41" t="s">
        <v>72</v>
      </c>
      <c r="E41" s="3">
        <v>4</v>
      </c>
    </row>
    <row r="42" spans="1:5">
      <c r="A42" t="s">
        <v>26</v>
      </c>
      <c r="B42" t="s">
        <v>27</v>
      </c>
      <c r="C42" t="s">
        <v>4</v>
      </c>
      <c r="D42" t="s">
        <v>73</v>
      </c>
      <c r="E42" s="3">
        <v>2</v>
      </c>
    </row>
    <row r="43" spans="1:5">
      <c r="A43" t="s">
        <v>26</v>
      </c>
      <c r="B43" t="s">
        <v>27</v>
      </c>
      <c r="C43" t="s">
        <v>5</v>
      </c>
      <c r="D43" t="s">
        <v>74</v>
      </c>
      <c r="E43" s="3">
        <v>1</v>
      </c>
    </row>
    <row r="44" spans="1:5">
      <c r="A44" t="s">
        <v>26</v>
      </c>
      <c r="B44" t="s">
        <v>27</v>
      </c>
      <c r="C44" t="s">
        <v>5</v>
      </c>
      <c r="D44" t="s">
        <v>75</v>
      </c>
      <c r="E44" s="3">
        <v>1</v>
      </c>
    </row>
    <row r="45" spans="1:5">
      <c r="A45" t="s">
        <v>26</v>
      </c>
      <c r="B45" t="s">
        <v>27</v>
      </c>
      <c r="C45" t="s">
        <v>5</v>
      </c>
      <c r="D45" t="s">
        <v>76</v>
      </c>
      <c r="E45" s="3">
        <v>2</v>
      </c>
    </row>
    <row r="46" spans="1:5">
      <c r="A46" t="s">
        <v>26</v>
      </c>
      <c r="B46" t="s">
        <v>27</v>
      </c>
      <c r="C46" t="s">
        <v>6</v>
      </c>
      <c r="D46" t="s">
        <v>77</v>
      </c>
      <c r="E46" s="3">
        <v>5</v>
      </c>
    </row>
    <row r="47" spans="1:5">
      <c r="A47" t="s">
        <v>26</v>
      </c>
      <c r="B47" t="s">
        <v>27</v>
      </c>
      <c r="C47" t="s">
        <v>6</v>
      </c>
      <c r="D47" t="s">
        <v>78</v>
      </c>
      <c r="E47" s="3">
        <v>3</v>
      </c>
    </row>
    <row r="48" spans="1:5">
      <c r="A48" t="s">
        <v>26</v>
      </c>
      <c r="B48" t="s">
        <v>27</v>
      </c>
      <c r="C48" t="s">
        <v>6</v>
      </c>
      <c r="D48" t="s">
        <v>79</v>
      </c>
      <c r="E48" s="3">
        <v>3</v>
      </c>
    </row>
    <row r="49" spans="1:5">
      <c r="A49" t="s">
        <v>26</v>
      </c>
      <c r="B49" t="s">
        <v>27</v>
      </c>
      <c r="C49" t="s">
        <v>6</v>
      </c>
      <c r="D49" t="s">
        <v>80</v>
      </c>
      <c r="E49" s="3">
        <v>3</v>
      </c>
    </row>
    <row r="50" spans="1:5">
      <c r="A50" t="s">
        <v>28</v>
      </c>
      <c r="B50" t="s">
        <v>29</v>
      </c>
      <c r="C50" t="s">
        <v>4</v>
      </c>
      <c r="D50" t="s">
        <v>69</v>
      </c>
      <c r="E50" s="3">
        <v>3</v>
      </c>
    </row>
    <row r="51" spans="1:5">
      <c r="A51" t="s">
        <v>28</v>
      </c>
      <c r="B51" t="s">
        <v>29</v>
      </c>
      <c r="C51" t="s">
        <v>4</v>
      </c>
      <c r="D51" t="s">
        <v>70</v>
      </c>
      <c r="E51" s="3">
        <v>4</v>
      </c>
    </row>
    <row r="52" spans="1:5">
      <c r="A52" t="s">
        <v>28</v>
      </c>
      <c r="B52" t="s">
        <v>29</v>
      </c>
      <c r="C52" t="s">
        <v>4</v>
      </c>
      <c r="D52" t="s">
        <v>71</v>
      </c>
      <c r="E52" s="3">
        <v>3</v>
      </c>
    </row>
    <row r="53" spans="1:5">
      <c r="A53" t="s">
        <v>28</v>
      </c>
      <c r="B53" t="s">
        <v>29</v>
      </c>
      <c r="C53" t="s">
        <v>4</v>
      </c>
      <c r="D53" t="s">
        <v>72</v>
      </c>
      <c r="E53" s="3">
        <v>5</v>
      </c>
    </row>
    <row r="54" spans="1:5">
      <c r="A54" t="s">
        <v>28</v>
      </c>
      <c r="B54" t="s">
        <v>29</v>
      </c>
      <c r="C54" t="s">
        <v>4</v>
      </c>
      <c r="D54" t="s">
        <v>73</v>
      </c>
      <c r="E54" s="3">
        <v>2</v>
      </c>
    </row>
    <row r="55" spans="1:5">
      <c r="A55" t="s">
        <v>28</v>
      </c>
      <c r="B55" t="s">
        <v>29</v>
      </c>
      <c r="C55" t="s">
        <v>5</v>
      </c>
      <c r="D55" t="s">
        <v>74</v>
      </c>
      <c r="E55" s="3">
        <v>2</v>
      </c>
    </row>
    <row r="56" spans="1:5">
      <c r="A56" t="s">
        <v>28</v>
      </c>
      <c r="B56" t="s">
        <v>29</v>
      </c>
      <c r="C56" t="s">
        <v>5</v>
      </c>
      <c r="D56" t="s">
        <v>75</v>
      </c>
      <c r="E56" s="3">
        <v>1</v>
      </c>
    </row>
    <row r="57" spans="1:5">
      <c r="A57" t="s">
        <v>28</v>
      </c>
      <c r="B57" t="s">
        <v>29</v>
      </c>
      <c r="C57" t="s">
        <v>5</v>
      </c>
      <c r="D57" t="s">
        <v>76</v>
      </c>
      <c r="E57" s="3">
        <v>5</v>
      </c>
    </row>
    <row r="58" spans="1:5">
      <c r="A58" t="s">
        <v>28</v>
      </c>
      <c r="B58" t="s">
        <v>29</v>
      </c>
      <c r="C58" t="s">
        <v>6</v>
      </c>
      <c r="D58" t="s">
        <v>77</v>
      </c>
      <c r="E58" s="3">
        <v>3</v>
      </c>
    </row>
    <row r="59" spans="1:5">
      <c r="A59" t="s">
        <v>28</v>
      </c>
      <c r="B59" t="s">
        <v>29</v>
      </c>
      <c r="C59" t="s">
        <v>6</v>
      </c>
      <c r="D59" t="s">
        <v>78</v>
      </c>
      <c r="E59" s="3">
        <v>2</v>
      </c>
    </row>
    <row r="60" spans="1:5">
      <c r="A60" t="s">
        <v>28</v>
      </c>
      <c r="B60" t="s">
        <v>29</v>
      </c>
      <c r="C60" t="s">
        <v>6</v>
      </c>
      <c r="D60" t="s">
        <v>79</v>
      </c>
      <c r="E60" s="3">
        <v>3</v>
      </c>
    </row>
    <row r="61" spans="1:5">
      <c r="A61" t="s">
        <v>28</v>
      </c>
      <c r="B61" t="s">
        <v>29</v>
      </c>
      <c r="C61" t="s">
        <v>6</v>
      </c>
      <c r="D61" t="s">
        <v>80</v>
      </c>
      <c r="E61" s="3">
        <v>4</v>
      </c>
    </row>
    <row r="62" spans="1:5">
      <c r="A62" t="s">
        <v>30</v>
      </c>
      <c r="B62" t="s">
        <v>31</v>
      </c>
      <c r="C62" t="s">
        <v>4</v>
      </c>
      <c r="D62" t="s">
        <v>69</v>
      </c>
      <c r="E62" s="3">
        <v>4</v>
      </c>
    </row>
    <row r="63" spans="1:5">
      <c r="A63" t="s">
        <v>30</v>
      </c>
      <c r="B63" t="s">
        <v>31</v>
      </c>
      <c r="C63" t="s">
        <v>4</v>
      </c>
      <c r="D63" t="s">
        <v>70</v>
      </c>
      <c r="E63" s="3">
        <v>3</v>
      </c>
    </row>
    <row r="64" spans="1:5">
      <c r="A64" t="s">
        <v>30</v>
      </c>
      <c r="B64" t="s">
        <v>31</v>
      </c>
      <c r="C64" t="s">
        <v>4</v>
      </c>
      <c r="D64" t="s">
        <v>71</v>
      </c>
      <c r="E64" s="3">
        <v>1</v>
      </c>
    </row>
    <row r="65" spans="1:5">
      <c r="A65" t="s">
        <v>30</v>
      </c>
      <c r="B65" t="s">
        <v>31</v>
      </c>
      <c r="C65" t="s">
        <v>4</v>
      </c>
      <c r="D65" t="s">
        <v>72</v>
      </c>
      <c r="E65" s="3">
        <v>3</v>
      </c>
    </row>
    <row r="66" spans="1:5">
      <c r="A66" t="s">
        <v>30</v>
      </c>
      <c r="B66" t="s">
        <v>31</v>
      </c>
      <c r="C66" t="s">
        <v>4</v>
      </c>
      <c r="D66" t="s">
        <v>73</v>
      </c>
      <c r="E66" s="3">
        <v>2</v>
      </c>
    </row>
    <row r="67" spans="1:5">
      <c r="A67" t="s">
        <v>30</v>
      </c>
      <c r="B67" t="s">
        <v>31</v>
      </c>
      <c r="C67" t="s">
        <v>5</v>
      </c>
      <c r="D67" t="s">
        <v>74</v>
      </c>
      <c r="E67" s="3">
        <v>3</v>
      </c>
    </row>
    <row r="68" spans="1:5">
      <c r="A68" t="s">
        <v>30</v>
      </c>
      <c r="B68" t="s">
        <v>31</v>
      </c>
      <c r="C68" t="s">
        <v>5</v>
      </c>
      <c r="D68" t="s">
        <v>75</v>
      </c>
      <c r="E68" s="3">
        <v>3</v>
      </c>
    </row>
    <row r="69" spans="1:5">
      <c r="A69" t="s">
        <v>30</v>
      </c>
      <c r="B69" t="s">
        <v>31</v>
      </c>
      <c r="C69" t="s">
        <v>5</v>
      </c>
      <c r="D69" t="s">
        <v>76</v>
      </c>
      <c r="E69" s="3">
        <v>5</v>
      </c>
    </row>
    <row r="70" spans="1:5">
      <c r="A70" t="s">
        <v>30</v>
      </c>
      <c r="B70" t="s">
        <v>31</v>
      </c>
      <c r="C70" t="s">
        <v>6</v>
      </c>
      <c r="D70" t="s">
        <v>77</v>
      </c>
      <c r="E70" s="3">
        <v>3</v>
      </c>
    </row>
    <row r="71" spans="1:5">
      <c r="A71" t="s">
        <v>30</v>
      </c>
      <c r="B71" t="s">
        <v>31</v>
      </c>
      <c r="C71" t="s">
        <v>6</v>
      </c>
      <c r="D71" t="s">
        <v>78</v>
      </c>
      <c r="E71" s="3">
        <v>5</v>
      </c>
    </row>
    <row r="72" spans="1:5">
      <c r="A72" t="s">
        <v>30</v>
      </c>
      <c r="B72" t="s">
        <v>31</v>
      </c>
      <c r="C72" t="s">
        <v>6</v>
      </c>
      <c r="D72" t="s">
        <v>79</v>
      </c>
      <c r="E72" s="3">
        <v>3</v>
      </c>
    </row>
    <row r="73" spans="1:5">
      <c r="A73" t="s">
        <v>30</v>
      </c>
      <c r="B73" t="s">
        <v>31</v>
      </c>
      <c r="C73" t="s">
        <v>6</v>
      </c>
      <c r="D73" t="s">
        <v>80</v>
      </c>
      <c r="E73" s="3">
        <v>1</v>
      </c>
    </row>
    <row r="74" spans="1:5">
      <c r="A74" t="s">
        <v>33</v>
      </c>
      <c r="B74" t="s">
        <v>34</v>
      </c>
      <c r="C74" t="s">
        <v>4</v>
      </c>
      <c r="D74" t="s">
        <v>69</v>
      </c>
      <c r="E74" s="3">
        <v>4</v>
      </c>
    </row>
    <row r="75" spans="1:5">
      <c r="A75" t="s">
        <v>33</v>
      </c>
      <c r="B75" t="s">
        <v>34</v>
      </c>
      <c r="C75" t="s">
        <v>4</v>
      </c>
      <c r="D75" t="s">
        <v>70</v>
      </c>
      <c r="E75" s="3">
        <v>2</v>
      </c>
    </row>
    <row r="76" spans="1:5">
      <c r="A76" t="s">
        <v>33</v>
      </c>
      <c r="B76" t="s">
        <v>34</v>
      </c>
      <c r="C76" t="s">
        <v>4</v>
      </c>
      <c r="D76" t="s">
        <v>71</v>
      </c>
      <c r="E76" s="3">
        <v>1</v>
      </c>
    </row>
    <row r="77" spans="1:5">
      <c r="A77" t="s">
        <v>33</v>
      </c>
      <c r="B77" t="s">
        <v>34</v>
      </c>
      <c r="C77" t="s">
        <v>4</v>
      </c>
      <c r="D77" t="s">
        <v>72</v>
      </c>
      <c r="E77" s="3">
        <v>1</v>
      </c>
    </row>
    <row r="78" spans="1:5">
      <c r="A78" t="s">
        <v>33</v>
      </c>
      <c r="B78" t="s">
        <v>34</v>
      </c>
      <c r="C78" t="s">
        <v>4</v>
      </c>
      <c r="D78" t="s">
        <v>73</v>
      </c>
      <c r="E78" s="3">
        <v>1</v>
      </c>
    </row>
    <row r="79" spans="1:5">
      <c r="A79" t="s">
        <v>33</v>
      </c>
      <c r="B79" t="s">
        <v>34</v>
      </c>
      <c r="C79" t="s">
        <v>5</v>
      </c>
      <c r="D79" t="s">
        <v>74</v>
      </c>
      <c r="E79" s="3">
        <v>2</v>
      </c>
    </row>
    <row r="80" spans="1:5">
      <c r="A80" t="s">
        <v>33</v>
      </c>
      <c r="B80" t="s">
        <v>34</v>
      </c>
      <c r="C80" t="s">
        <v>5</v>
      </c>
      <c r="D80" t="s">
        <v>75</v>
      </c>
      <c r="E80" s="3">
        <v>1</v>
      </c>
    </row>
    <row r="81" spans="1:5">
      <c r="A81" t="s">
        <v>33</v>
      </c>
      <c r="B81" t="s">
        <v>34</v>
      </c>
      <c r="C81" t="s">
        <v>5</v>
      </c>
      <c r="D81" t="s">
        <v>76</v>
      </c>
      <c r="E81" s="3">
        <v>2</v>
      </c>
    </row>
    <row r="82" spans="1:5">
      <c r="A82" t="s">
        <v>33</v>
      </c>
      <c r="B82" t="s">
        <v>34</v>
      </c>
      <c r="C82" t="s">
        <v>6</v>
      </c>
      <c r="D82" t="s">
        <v>77</v>
      </c>
      <c r="E82" s="3">
        <v>3</v>
      </c>
    </row>
    <row r="83" spans="1:5">
      <c r="A83" t="s">
        <v>33</v>
      </c>
      <c r="B83" t="s">
        <v>34</v>
      </c>
      <c r="C83" t="s">
        <v>6</v>
      </c>
      <c r="D83" t="s">
        <v>78</v>
      </c>
      <c r="E83" s="3">
        <v>4</v>
      </c>
    </row>
    <row r="84" spans="1:5">
      <c r="A84" t="s">
        <v>33</v>
      </c>
      <c r="B84" t="s">
        <v>34</v>
      </c>
      <c r="C84" t="s">
        <v>6</v>
      </c>
      <c r="D84" t="s">
        <v>79</v>
      </c>
      <c r="E84" s="3">
        <v>3</v>
      </c>
    </row>
    <row r="85" spans="1:5">
      <c r="A85" t="s">
        <v>33</v>
      </c>
      <c r="B85" t="s">
        <v>34</v>
      </c>
      <c r="C85" t="s">
        <v>6</v>
      </c>
      <c r="D85" t="s">
        <v>80</v>
      </c>
      <c r="E85" s="3">
        <v>2</v>
      </c>
    </row>
    <row r="86" spans="1:5">
      <c r="A86" t="s">
        <v>36</v>
      </c>
      <c r="B86" t="s">
        <v>37</v>
      </c>
      <c r="C86" t="s">
        <v>4</v>
      </c>
      <c r="D86" t="s">
        <v>69</v>
      </c>
      <c r="E86" s="3">
        <v>4</v>
      </c>
    </row>
    <row r="87" spans="1:5">
      <c r="A87" t="s">
        <v>36</v>
      </c>
      <c r="B87" t="s">
        <v>37</v>
      </c>
      <c r="C87" t="s">
        <v>4</v>
      </c>
      <c r="D87" t="s">
        <v>70</v>
      </c>
      <c r="E87" s="3">
        <v>4</v>
      </c>
    </row>
    <row r="88" spans="1:5">
      <c r="A88" t="s">
        <v>36</v>
      </c>
      <c r="B88" t="s">
        <v>37</v>
      </c>
      <c r="C88" t="s">
        <v>4</v>
      </c>
      <c r="D88" t="s">
        <v>71</v>
      </c>
      <c r="E88" s="3">
        <v>2</v>
      </c>
    </row>
    <row r="89" spans="1:5">
      <c r="A89" t="s">
        <v>36</v>
      </c>
      <c r="B89" t="s">
        <v>37</v>
      </c>
      <c r="C89" t="s">
        <v>4</v>
      </c>
      <c r="D89" t="s">
        <v>72</v>
      </c>
      <c r="E89" s="3">
        <v>3</v>
      </c>
    </row>
    <row r="90" spans="1:5">
      <c r="A90" t="s">
        <v>36</v>
      </c>
      <c r="B90" t="s">
        <v>37</v>
      </c>
      <c r="C90" t="s">
        <v>4</v>
      </c>
      <c r="D90" t="s">
        <v>73</v>
      </c>
      <c r="E90" s="3">
        <v>1</v>
      </c>
    </row>
    <row r="91" spans="1:5">
      <c r="A91" t="s">
        <v>36</v>
      </c>
      <c r="B91" t="s">
        <v>37</v>
      </c>
      <c r="C91" t="s">
        <v>5</v>
      </c>
      <c r="D91" t="s">
        <v>74</v>
      </c>
      <c r="E91" s="3">
        <v>1</v>
      </c>
    </row>
    <row r="92" spans="1:5">
      <c r="A92" t="s">
        <v>36</v>
      </c>
      <c r="B92" t="s">
        <v>37</v>
      </c>
      <c r="C92" t="s">
        <v>5</v>
      </c>
      <c r="D92" t="s">
        <v>75</v>
      </c>
      <c r="E92" s="3">
        <v>0</v>
      </c>
    </row>
    <row r="93" spans="1:5">
      <c r="A93" t="s">
        <v>36</v>
      </c>
      <c r="B93" t="s">
        <v>37</v>
      </c>
      <c r="C93" t="s">
        <v>5</v>
      </c>
      <c r="D93" t="s">
        <v>76</v>
      </c>
      <c r="E93" s="3">
        <v>2</v>
      </c>
    </row>
    <row r="94" spans="1:5">
      <c r="A94" t="s">
        <v>36</v>
      </c>
      <c r="B94" t="s">
        <v>37</v>
      </c>
      <c r="C94" t="s">
        <v>6</v>
      </c>
      <c r="D94" t="s">
        <v>77</v>
      </c>
      <c r="E94" s="3">
        <v>3</v>
      </c>
    </row>
    <row r="95" spans="1:5">
      <c r="A95" t="s">
        <v>36</v>
      </c>
      <c r="B95" t="s">
        <v>37</v>
      </c>
      <c r="C95" t="s">
        <v>6</v>
      </c>
      <c r="D95" t="s">
        <v>78</v>
      </c>
      <c r="E95" s="3">
        <v>5</v>
      </c>
    </row>
    <row r="96" spans="1:5">
      <c r="A96" t="s">
        <v>36</v>
      </c>
      <c r="B96" t="s">
        <v>37</v>
      </c>
      <c r="C96" t="s">
        <v>6</v>
      </c>
      <c r="D96" t="s">
        <v>79</v>
      </c>
      <c r="E96" s="3">
        <v>3</v>
      </c>
    </row>
    <row r="97" spans="1:5">
      <c r="A97" t="s">
        <v>36</v>
      </c>
      <c r="B97" t="s">
        <v>37</v>
      </c>
      <c r="C97" t="s">
        <v>6</v>
      </c>
      <c r="D97" t="s">
        <v>80</v>
      </c>
      <c r="E97" s="3">
        <v>3</v>
      </c>
    </row>
    <row r="98" spans="1:5">
      <c r="A98" t="s">
        <v>39</v>
      </c>
      <c r="B98" t="s">
        <v>40</v>
      </c>
      <c r="C98" t="s">
        <v>4</v>
      </c>
      <c r="D98" t="s">
        <v>69</v>
      </c>
      <c r="E98" s="3">
        <v>3</v>
      </c>
    </row>
    <row r="99" spans="1:5">
      <c r="A99" t="s">
        <v>39</v>
      </c>
      <c r="B99" t="s">
        <v>40</v>
      </c>
      <c r="C99" t="s">
        <v>4</v>
      </c>
      <c r="D99" t="s">
        <v>70</v>
      </c>
      <c r="E99" s="3">
        <v>3</v>
      </c>
    </row>
    <row r="100" spans="1:5">
      <c r="A100" t="s">
        <v>39</v>
      </c>
      <c r="B100" t="s">
        <v>40</v>
      </c>
      <c r="C100" t="s">
        <v>4</v>
      </c>
      <c r="D100" t="s">
        <v>71</v>
      </c>
      <c r="E100" s="3">
        <v>2</v>
      </c>
    </row>
    <row r="101" spans="1:5">
      <c r="A101" t="s">
        <v>39</v>
      </c>
      <c r="B101" t="s">
        <v>40</v>
      </c>
      <c r="C101" t="s">
        <v>4</v>
      </c>
      <c r="D101" t="s">
        <v>72</v>
      </c>
      <c r="E101" s="3">
        <v>3</v>
      </c>
    </row>
    <row r="102" spans="1:5">
      <c r="A102" t="s">
        <v>39</v>
      </c>
      <c r="B102" t="s">
        <v>40</v>
      </c>
      <c r="C102" t="s">
        <v>4</v>
      </c>
      <c r="D102" t="s">
        <v>73</v>
      </c>
      <c r="E102" s="3">
        <v>4</v>
      </c>
    </row>
    <row r="103" spans="1:5">
      <c r="A103" t="s">
        <v>39</v>
      </c>
      <c r="B103" t="s">
        <v>40</v>
      </c>
      <c r="C103" t="s">
        <v>5</v>
      </c>
      <c r="D103" t="s">
        <v>74</v>
      </c>
      <c r="E103" s="3">
        <v>4</v>
      </c>
    </row>
    <row r="104" spans="1:5">
      <c r="A104" t="s">
        <v>39</v>
      </c>
      <c r="B104" t="s">
        <v>40</v>
      </c>
      <c r="C104" t="s">
        <v>5</v>
      </c>
      <c r="D104" t="s">
        <v>75</v>
      </c>
      <c r="E104" s="3">
        <v>2</v>
      </c>
    </row>
    <row r="105" spans="1:5">
      <c r="A105" t="s">
        <v>39</v>
      </c>
      <c r="B105" t="s">
        <v>40</v>
      </c>
      <c r="C105" t="s">
        <v>5</v>
      </c>
      <c r="D105" t="s">
        <v>76</v>
      </c>
      <c r="E105" s="3">
        <v>5</v>
      </c>
    </row>
    <row r="106" spans="1:5">
      <c r="A106" t="s">
        <v>39</v>
      </c>
      <c r="B106" t="s">
        <v>40</v>
      </c>
      <c r="C106" t="s">
        <v>6</v>
      </c>
      <c r="D106" t="s">
        <v>77</v>
      </c>
      <c r="E106" s="3">
        <v>3</v>
      </c>
    </row>
    <row r="107" spans="1:5">
      <c r="A107" t="s">
        <v>39</v>
      </c>
      <c r="B107" t="s">
        <v>40</v>
      </c>
      <c r="C107" t="s">
        <v>6</v>
      </c>
      <c r="D107" t="s">
        <v>78</v>
      </c>
      <c r="E107" s="3">
        <v>5</v>
      </c>
    </row>
    <row r="108" spans="1:5">
      <c r="A108" t="s">
        <v>39</v>
      </c>
      <c r="B108" t="s">
        <v>40</v>
      </c>
      <c r="C108" t="s">
        <v>6</v>
      </c>
      <c r="D108" t="s">
        <v>79</v>
      </c>
      <c r="E108" s="3">
        <v>3</v>
      </c>
    </row>
    <row r="109" spans="1:5">
      <c r="A109" t="s">
        <v>39</v>
      </c>
      <c r="B109" t="s">
        <v>40</v>
      </c>
      <c r="C109" t="s">
        <v>6</v>
      </c>
      <c r="D109" t="s">
        <v>80</v>
      </c>
      <c r="E109" s="3">
        <v>1</v>
      </c>
    </row>
    <row r="110" spans="1:5">
      <c r="A110" t="s">
        <v>41</v>
      </c>
      <c r="B110" t="s">
        <v>42</v>
      </c>
      <c r="C110" t="s">
        <v>4</v>
      </c>
      <c r="D110" t="s">
        <v>69</v>
      </c>
      <c r="E110" s="3">
        <v>4</v>
      </c>
    </row>
    <row r="111" spans="1:5">
      <c r="A111" t="s">
        <v>41</v>
      </c>
      <c r="B111" t="s">
        <v>42</v>
      </c>
      <c r="C111" t="s">
        <v>4</v>
      </c>
      <c r="D111" t="s">
        <v>70</v>
      </c>
      <c r="E111" s="3">
        <v>2</v>
      </c>
    </row>
    <row r="112" spans="1:5">
      <c r="A112" t="s">
        <v>41</v>
      </c>
      <c r="B112" t="s">
        <v>42</v>
      </c>
      <c r="C112" t="s">
        <v>4</v>
      </c>
      <c r="D112" t="s">
        <v>71</v>
      </c>
      <c r="E112" s="3">
        <v>1</v>
      </c>
    </row>
    <row r="113" spans="1:5">
      <c r="A113" t="s">
        <v>41</v>
      </c>
      <c r="B113" t="s">
        <v>42</v>
      </c>
      <c r="C113" t="s">
        <v>4</v>
      </c>
      <c r="D113" t="s">
        <v>72</v>
      </c>
      <c r="E113" s="3">
        <v>1</v>
      </c>
    </row>
    <row r="114" spans="1:5">
      <c r="A114" t="s">
        <v>41</v>
      </c>
      <c r="B114" t="s">
        <v>42</v>
      </c>
      <c r="C114" t="s">
        <v>4</v>
      </c>
      <c r="D114" t="s">
        <v>73</v>
      </c>
      <c r="E114" s="3">
        <v>1</v>
      </c>
    </row>
    <row r="115" spans="1:5">
      <c r="A115" t="s">
        <v>41</v>
      </c>
      <c r="B115" t="s">
        <v>42</v>
      </c>
      <c r="C115" t="s">
        <v>5</v>
      </c>
      <c r="D115" t="s">
        <v>74</v>
      </c>
      <c r="E115" s="3">
        <v>3</v>
      </c>
    </row>
    <row r="116" spans="1:5">
      <c r="A116" t="s">
        <v>41</v>
      </c>
      <c r="B116" t="s">
        <v>42</v>
      </c>
      <c r="C116" t="s">
        <v>5</v>
      </c>
      <c r="D116" t="s">
        <v>75</v>
      </c>
      <c r="E116" s="3">
        <v>2</v>
      </c>
    </row>
    <row r="117" spans="1:5">
      <c r="A117" t="s">
        <v>41</v>
      </c>
      <c r="B117" t="s">
        <v>42</v>
      </c>
      <c r="C117" t="s">
        <v>5</v>
      </c>
      <c r="D117" t="s">
        <v>76</v>
      </c>
      <c r="E117" s="3">
        <v>5</v>
      </c>
    </row>
    <row r="118" spans="1:5">
      <c r="A118" t="s">
        <v>41</v>
      </c>
      <c r="B118" t="s">
        <v>42</v>
      </c>
      <c r="C118" t="s">
        <v>6</v>
      </c>
      <c r="D118" t="s">
        <v>77</v>
      </c>
      <c r="E118" s="3">
        <v>3</v>
      </c>
    </row>
    <row r="119" spans="1:5">
      <c r="A119" t="s">
        <v>41</v>
      </c>
      <c r="B119" t="s">
        <v>42</v>
      </c>
      <c r="C119" t="s">
        <v>6</v>
      </c>
      <c r="D119" t="s">
        <v>78</v>
      </c>
      <c r="E119" s="3">
        <v>5</v>
      </c>
    </row>
    <row r="120" spans="1:5">
      <c r="A120" t="s">
        <v>41</v>
      </c>
      <c r="B120" t="s">
        <v>42</v>
      </c>
      <c r="C120" t="s">
        <v>6</v>
      </c>
      <c r="D120" t="s">
        <v>79</v>
      </c>
      <c r="E120" s="3">
        <v>4</v>
      </c>
    </row>
    <row r="121" spans="1:5">
      <c r="A121" t="s">
        <v>41</v>
      </c>
      <c r="B121" t="s">
        <v>42</v>
      </c>
      <c r="C121" t="s">
        <v>6</v>
      </c>
      <c r="D121" t="s">
        <v>80</v>
      </c>
      <c r="E121" s="3">
        <v>2</v>
      </c>
    </row>
    <row r="122" spans="1:5">
      <c r="A122" t="s">
        <v>44</v>
      </c>
      <c r="B122" t="s">
        <v>45</v>
      </c>
      <c r="C122" t="s">
        <v>4</v>
      </c>
      <c r="D122" t="s">
        <v>69</v>
      </c>
      <c r="E122" s="3">
        <v>4</v>
      </c>
    </row>
    <row r="123" spans="1:5">
      <c r="A123" t="s">
        <v>44</v>
      </c>
      <c r="B123" t="s">
        <v>45</v>
      </c>
      <c r="C123" t="s">
        <v>4</v>
      </c>
      <c r="D123" t="s">
        <v>70</v>
      </c>
      <c r="E123" s="3">
        <v>3</v>
      </c>
    </row>
    <row r="124" spans="1:5">
      <c r="A124" t="s">
        <v>44</v>
      </c>
      <c r="B124" t="s">
        <v>45</v>
      </c>
      <c r="C124" t="s">
        <v>4</v>
      </c>
      <c r="D124" t="s">
        <v>71</v>
      </c>
      <c r="E124" s="3">
        <v>2</v>
      </c>
    </row>
    <row r="125" spans="1:5">
      <c r="A125" t="s">
        <v>44</v>
      </c>
      <c r="B125" t="s">
        <v>45</v>
      </c>
      <c r="C125" t="s">
        <v>4</v>
      </c>
      <c r="D125" t="s">
        <v>72</v>
      </c>
      <c r="E125" s="3">
        <v>3</v>
      </c>
    </row>
    <row r="126" spans="1:5">
      <c r="A126" t="s">
        <v>44</v>
      </c>
      <c r="B126" t="s">
        <v>45</v>
      </c>
      <c r="C126" t="s">
        <v>4</v>
      </c>
      <c r="D126" t="s">
        <v>73</v>
      </c>
      <c r="E126" s="3">
        <v>2</v>
      </c>
    </row>
    <row r="127" spans="1:5">
      <c r="A127" t="s">
        <v>44</v>
      </c>
      <c r="B127" t="s">
        <v>45</v>
      </c>
      <c r="C127" t="s">
        <v>5</v>
      </c>
      <c r="D127" t="s">
        <v>74</v>
      </c>
      <c r="E127" s="3">
        <v>3</v>
      </c>
    </row>
    <row r="128" spans="1:5">
      <c r="A128" t="s">
        <v>44</v>
      </c>
      <c r="B128" t="s">
        <v>45</v>
      </c>
      <c r="C128" t="s">
        <v>5</v>
      </c>
      <c r="D128" t="s">
        <v>75</v>
      </c>
      <c r="E128" s="3">
        <v>2</v>
      </c>
    </row>
    <row r="129" spans="1:5">
      <c r="A129" t="s">
        <v>44</v>
      </c>
      <c r="B129" t="s">
        <v>45</v>
      </c>
      <c r="C129" t="s">
        <v>5</v>
      </c>
      <c r="D129" t="s">
        <v>76</v>
      </c>
      <c r="E129" s="3">
        <v>5</v>
      </c>
    </row>
    <row r="130" spans="1:5">
      <c r="A130" t="s">
        <v>44</v>
      </c>
      <c r="B130" t="s">
        <v>45</v>
      </c>
      <c r="C130" t="s">
        <v>6</v>
      </c>
      <c r="D130" t="s">
        <v>77</v>
      </c>
      <c r="E130" s="3">
        <v>3</v>
      </c>
    </row>
    <row r="131" spans="1:5">
      <c r="A131" t="s">
        <v>44</v>
      </c>
      <c r="B131" t="s">
        <v>45</v>
      </c>
      <c r="C131" t="s">
        <v>6</v>
      </c>
      <c r="D131" t="s">
        <v>78</v>
      </c>
      <c r="E131" s="3">
        <v>5</v>
      </c>
    </row>
    <row r="132" spans="1:5">
      <c r="A132" t="s">
        <v>44</v>
      </c>
      <c r="B132" t="s">
        <v>45</v>
      </c>
      <c r="C132" t="s">
        <v>6</v>
      </c>
      <c r="D132" t="s">
        <v>79</v>
      </c>
      <c r="E132" s="3">
        <v>3</v>
      </c>
    </row>
    <row r="133" spans="1:5">
      <c r="A133" t="s">
        <v>44</v>
      </c>
      <c r="B133" t="s">
        <v>45</v>
      </c>
      <c r="C133" t="s">
        <v>6</v>
      </c>
      <c r="D133" t="s">
        <v>80</v>
      </c>
      <c r="E133" s="3">
        <v>2</v>
      </c>
    </row>
    <row r="134" spans="1:5">
      <c r="A134" t="s">
        <v>46</v>
      </c>
      <c r="B134" t="s">
        <v>47</v>
      </c>
      <c r="C134" t="s">
        <v>4</v>
      </c>
      <c r="D134" t="s">
        <v>69</v>
      </c>
      <c r="E134" s="3">
        <v>4</v>
      </c>
    </row>
    <row r="135" spans="1:5">
      <c r="A135" t="s">
        <v>46</v>
      </c>
      <c r="B135" t="s">
        <v>47</v>
      </c>
      <c r="C135" t="s">
        <v>4</v>
      </c>
      <c r="D135" t="s">
        <v>70</v>
      </c>
      <c r="E135" s="3">
        <v>2</v>
      </c>
    </row>
    <row r="136" spans="1:5">
      <c r="A136" t="s">
        <v>46</v>
      </c>
      <c r="B136" t="s">
        <v>47</v>
      </c>
      <c r="C136" t="s">
        <v>4</v>
      </c>
      <c r="D136" t="s">
        <v>71</v>
      </c>
      <c r="E136" s="3">
        <v>1</v>
      </c>
    </row>
    <row r="137" spans="1:5">
      <c r="A137" t="s">
        <v>46</v>
      </c>
      <c r="B137" t="s">
        <v>47</v>
      </c>
      <c r="C137" t="s">
        <v>4</v>
      </c>
      <c r="D137" t="s">
        <v>72</v>
      </c>
      <c r="E137" s="3">
        <v>3</v>
      </c>
    </row>
    <row r="138" spans="1:5">
      <c r="A138" t="s">
        <v>46</v>
      </c>
      <c r="B138" t="s">
        <v>47</v>
      </c>
      <c r="C138" t="s">
        <v>4</v>
      </c>
      <c r="D138" t="s">
        <v>73</v>
      </c>
      <c r="E138" s="3">
        <v>2</v>
      </c>
    </row>
    <row r="139" spans="1:5">
      <c r="A139" t="s">
        <v>46</v>
      </c>
      <c r="B139" t="s">
        <v>47</v>
      </c>
      <c r="C139" t="s">
        <v>5</v>
      </c>
      <c r="D139" t="s">
        <v>74</v>
      </c>
      <c r="E139" s="3">
        <v>3</v>
      </c>
    </row>
    <row r="140" spans="1:5">
      <c r="A140" t="s">
        <v>46</v>
      </c>
      <c r="B140" t="s">
        <v>47</v>
      </c>
      <c r="C140" t="s">
        <v>5</v>
      </c>
      <c r="D140" t="s">
        <v>75</v>
      </c>
      <c r="E140" s="3">
        <v>1</v>
      </c>
    </row>
    <row r="141" spans="1:5">
      <c r="A141" t="s">
        <v>46</v>
      </c>
      <c r="B141" t="s">
        <v>47</v>
      </c>
      <c r="C141" t="s">
        <v>5</v>
      </c>
      <c r="D141" t="s">
        <v>76</v>
      </c>
      <c r="E141" s="3">
        <v>3</v>
      </c>
    </row>
    <row r="142" spans="1:5">
      <c r="A142" t="s">
        <v>46</v>
      </c>
      <c r="B142" t="s">
        <v>47</v>
      </c>
      <c r="C142" t="s">
        <v>6</v>
      </c>
      <c r="D142" t="s">
        <v>77</v>
      </c>
      <c r="E142" s="3">
        <v>3</v>
      </c>
    </row>
    <row r="143" spans="1:5">
      <c r="A143" t="s">
        <v>46</v>
      </c>
      <c r="B143" t="s">
        <v>47</v>
      </c>
      <c r="C143" t="s">
        <v>6</v>
      </c>
      <c r="D143" t="s">
        <v>78</v>
      </c>
      <c r="E143" s="3">
        <v>5</v>
      </c>
    </row>
    <row r="144" spans="1:5">
      <c r="A144" t="s">
        <v>46</v>
      </c>
      <c r="B144" t="s">
        <v>47</v>
      </c>
      <c r="C144" t="s">
        <v>6</v>
      </c>
      <c r="D144" t="s">
        <v>79</v>
      </c>
      <c r="E144" s="3">
        <v>3</v>
      </c>
    </row>
    <row r="145" spans="1:5">
      <c r="A145" t="s">
        <v>46</v>
      </c>
      <c r="B145" t="s">
        <v>47</v>
      </c>
      <c r="C145" t="s">
        <v>6</v>
      </c>
      <c r="D145" t="s">
        <v>80</v>
      </c>
      <c r="E145" s="3">
        <v>5</v>
      </c>
    </row>
    <row r="146" spans="1:5">
      <c r="A146" t="s">
        <v>49</v>
      </c>
      <c r="B146" t="s">
        <v>50</v>
      </c>
      <c r="C146" t="s">
        <v>4</v>
      </c>
      <c r="D146" t="s">
        <v>69</v>
      </c>
      <c r="E146" s="3">
        <v>5</v>
      </c>
    </row>
    <row r="147" spans="1:5">
      <c r="A147" t="s">
        <v>49</v>
      </c>
      <c r="B147" t="s">
        <v>50</v>
      </c>
      <c r="C147" t="s">
        <v>4</v>
      </c>
      <c r="D147" t="s">
        <v>70</v>
      </c>
      <c r="E147" s="3">
        <v>3</v>
      </c>
    </row>
    <row r="148" spans="1:5">
      <c r="A148" t="s">
        <v>49</v>
      </c>
      <c r="B148" t="s">
        <v>50</v>
      </c>
      <c r="C148" t="s">
        <v>4</v>
      </c>
      <c r="D148" t="s">
        <v>71</v>
      </c>
      <c r="E148" s="3">
        <v>3</v>
      </c>
    </row>
    <row r="149" spans="1:5">
      <c r="A149" t="s">
        <v>49</v>
      </c>
      <c r="B149" t="s">
        <v>50</v>
      </c>
      <c r="C149" t="s">
        <v>4</v>
      </c>
      <c r="D149" t="s">
        <v>72</v>
      </c>
      <c r="E149" s="3">
        <v>3</v>
      </c>
    </row>
    <row r="150" spans="1:5">
      <c r="A150" t="s">
        <v>49</v>
      </c>
      <c r="B150" t="s">
        <v>50</v>
      </c>
      <c r="C150" t="s">
        <v>4</v>
      </c>
      <c r="D150" t="s">
        <v>73</v>
      </c>
      <c r="E150" s="3">
        <v>3</v>
      </c>
    </row>
    <row r="151" spans="1:5">
      <c r="A151" t="s">
        <v>49</v>
      </c>
      <c r="B151" t="s">
        <v>50</v>
      </c>
      <c r="C151" t="s">
        <v>5</v>
      </c>
      <c r="D151" t="s">
        <v>74</v>
      </c>
      <c r="E151" s="3">
        <v>4</v>
      </c>
    </row>
    <row r="152" spans="1:5">
      <c r="A152" t="s">
        <v>49</v>
      </c>
      <c r="B152" t="s">
        <v>50</v>
      </c>
      <c r="C152" t="s">
        <v>5</v>
      </c>
      <c r="D152" t="s">
        <v>75</v>
      </c>
      <c r="E152" s="3">
        <v>3</v>
      </c>
    </row>
    <row r="153" spans="1:5">
      <c r="A153" t="s">
        <v>49</v>
      </c>
      <c r="B153" t="s">
        <v>50</v>
      </c>
      <c r="C153" t="s">
        <v>5</v>
      </c>
      <c r="D153" t="s">
        <v>76</v>
      </c>
      <c r="E153" s="3">
        <v>5</v>
      </c>
    </row>
    <row r="154" spans="1:5">
      <c r="A154" t="s">
        <v>49</v>
      </c>
      <c r="B154" t="s">
        <v>50</v>
      </c>
      <c r="C154" t="s">
        <v>6</v>
      </c>
      <c r="D154" t="s">
        <v>77</v>
      </c>
      <c r="E154" s="3">
        <v>3</v>
      </c>
    </row>
    <row r="155" spans="1:5">
      <c r="A155" t="s">
        <v>49</v>
      </c>
      <c r="B155" t="s">
        <v>50</v>
      </c>
      <c r="C155" t="s">
        <v>6</v>
      </c>
      <c r="D155" t="s">
        <v>78</v>
      </c>
      <c r="E155" s="3">
        <v>4</v>
      </c>
    </row>
    <row r="156" spans="1:5">
      <c r="A156" t="s">
        <v>49</v>
      </c>
      <c r="B156" t="s">
        <v>50</v>
      </c>
      <c r="C156" t="s">
        <v>6</v>
      </c>
      <c r="D156" t="s">
        <v>79</v>
      </c>
      <c r="E156" s="3">
        <v>4</v>
      </c>
    </row>
    <row r="157" spans="1:5">
      <c r="A157" t="s">
        <v>49</v>
      </c>
      <c r="B157" t="s">
        <v>50</v>
      </c>
      <c r="C157" t="s">
        <v>6</v>
      </c>
      <c r="D157" t="s">
        <v>80</v>
      </c>
      <c r="E157" s="3">
        <v>5</v>
      </c>
    </row>
    <row r="158" spans="1:5">
      <c r="A158" t="s">
        <v>52</v>
      </c>
      <c r="B158" t="s">
        <v>53</v>
      </c>
      <c r="C158" t="s">
        <v>4</v>
      </c>
      <c r="D158" t="s">
        <v>69</v>
      </c>
      <c r="E158" s="3">
        <v>4</v>
      </c>
    </row>
    <row r="159" spans="1:5">
      <c r="A159" t="s">
        <v>52</v>
      </c>
      <c r="B159" t="s">
        <v>53</v>
      </c>
      <c r="C159" t="s">
        <v>4</v>
      </c>
      <c r="D159" t="s">
        <v>70</v>
      </c>
      <c r="E159" s="3">
        <v>3</v>
      </c>
    </row>
    <row r="160" spans="1:5">
      <c r="A160" t="s">
        <v>52</v>
      </c>
      <c r="B160" t="s">
        <v>53</v>
      </c>
      <c r="C160" t="s">
        <v>4</v>
      </c>
      <c r="D160" t="s">
        <v>71</v>
      </c>
      <c r="E160" s="3">
        <v>0</v>
      </c>
    </row>
    <row r="161" spans="1:5">
      <c r="A161" t="s">
        <v>52</v>
      </c>
      <c r="B161" t="s">
        <v>53</v>
      </c>
      <c r="C161" t="s">
        <v>4</v>
      </c>
      <c r="D161" t="s">
        <v>72</v>
      </c>
      <c r="E161" s="3">
        <v>1</v>
      </c>
    </row>
    <row r="162" spans="1:5">
      <c r="A162" t="s">
        <v>52</v>
      </c>
      <c r="B162" t="s">
        <v>53</v>
      </c>
      <c r="C162" t="s">
        <v>4</v>
      </c>
      <c r="D162" t="s">
        <v>73</v>
      </c>
      <c r="E162" s="3">
        <v>2</v>
      </c>
    </row>
    <row r="163" spans="1:5">
      <c r="A163" t="s">
        <v>52</v>
      </c>
      <c r="B163" t="s">
        <v>53</v>
      </c>
      <c r="C163" t="s">
        <v>5</v>
      </c>
      <c r="D163" t="s">
        <v>74</v>
      </c>
      <c r="E163" s="3">
        <v>2</v>
      </c>
    </row>
    <row r="164" spans="1:5">
      <c r="A164" t="s">
        <v>52</v>
      </c>
      <c r="B164" t="s">
        <v>53</v>
      </c>
      <c r="C164" t="s">
        <v>5</v>
      </c>
      <c r="D164" t="s">
        <v>75</v>
      </c>
      <c r="E164" s="3">
        <v>1</v>
      </c>
    </row>
    <row r="165" spans="1:5">
      <c r="A165" t="s">
        <v>52</v>
      </c>
      <c r="B165" t="s">
        <v>53</v>
      </c>
      <c r="C165" t="s">
        <v>5</v>
      </c>
      <c r="D165" t="s">
        <v>76</v>
      </c>
      <c r="E165" s="3">
        <v>3</v>
      </c>
    </row>
    <row r="166" spans="1:5">
      <c r="A166" t="s">
        <v>52</v>
      </c>
      <c r="B166" t="s">
        <v>53</v>
      </c>
      <c r="C166" t="s">
        <v>6</v>
      </c>
      <c r="D166" t="s">
        <v>77</v>
      </c>
      <c r="E166" s="3">
        <v>3</v>
      </c>
    </row>
    <row r="167" spans="1:5">
      <c r="A167" t="s">
        <v>52</v>
      </c>
      <c r="B167" t="s">
        <v>53</v>
      </c>
      <c r="C167" t="s">
        <v>6</v>
      </c>
      <c r="D167" t="s">
        <v>78</v>
      </c>
      <c r="E167" s="3">
        <v>5</v>
      </c>
    </row>
    <row r="168" spans="1:5">
      <c r="A168" t="s">
        <v>52</v>
      </c>
      <c r="B168" t="s">
        <v>53</v>
      </c>
      <c r="C168" t="s">
        <v>6</v>
      </c>
      <c r="D168" t="s">
        <v>79</v>
      </c>
      <c r="E168" s="3">
        <v>3</v>
      </c>
    </row>
    <row r="169" spans="1:5">
      <c r="A169" t="s">
        <v>52</v>
      </c>
      <c r="B169" t="s">
        <v>53</v>
      </c>
      <c r="C169" t="s">
        <v>6</v>
      </c>
      <c r="D169" t="s">
        <v>80</v>
      </c>
      <c r="E169" s="3">
        <v>3</v>
      </c>
    </row>
    <row r="170" spans="1:5">
      <c r="A170" t="s">
        <v>55</v>
      </c>
      <c r="B170" t="s">
        <v>56</v>
      </c>
      <c r="C170" t="s">
        <v>4</v>
      </c>
      <c r="D170" t="s">
        <v>69</v>
      </c>
      <c r="E170" s="3">
        <v>4</v>
      </c>
    </row>
    <row r="171" spans="1:5">
      <c r="A171" t="s">
        <v>55</v>
      </c>
      <c r="B171" t="s">
        <v>56</v>
      </c>
      <c r="C171" t="s">
        <v>4</v>
      </c>
      <c r="D171" t="s">
        <v>70</v>
      </c>
      <c r="E171" s="3">
        <v>2</v>
      </c>
    </row>
    <row r="172" spans="1:5">
      <c r="A172" t="s">
        <v>55</v>
      </c>
      <c r="B172" t="s">
        <v>56</v>
      </c>
      <c r="C172" t="s">
        <v>4</v>
      </c>
      <c r="D172" t="s">
        <v>71</v>
      </c>
      <c r="E172" s="3">
        <v>3</v>
      </c>
    </row>
    <row r="173" spans="1:5">
      <c r="A173" t="s">
        <v>55</v>
      </c>
      <c r="B173" t="s">
        <v>56</v>
      </c>
      <c r="C173" t="s">
        <v>4</v>
      </c>
      <c r="D173" t="s">
        <v>72</v>
      </c>
      <c r="E173" s="3">
        <v>3</v>
      </c>
    </row>
    <row r="174" spans="1:5">
      <c r="A174" t="s">
        <v>55</v>
      </c>
      <c r="B174" t="s">
        <v>56</v>
      </c>
      <c r="C174" t="s">
        <v>4</v>
      </c>
      <c r="D174" t="s">
        <v>73</v>
      </c>
      <c r="E174" s="3">
        <v>3</v>
      </c>
    </row>
    <row r="175" spans="1:5">
      <c r="A175" t="s">
        <v>55</v>
      </c>
      <c r="B175" t="s">
        <v>56</v>
      </c>
      <c r="C175" t="s">
        <v>5</v>
      </c>
      <c r="D175" t="s">
        <v>74</v>
      </c>
      <c r="E175" s="3">
        <v>1</v>
      </c>
    </row>
    <row r="176" spans="1:5">
      <c r="A176" t="s">
        <v>55</v>
      </c>
      <c r="B176" t="s">
        <v>56</v>
      </c>
      <c r="C176" t="s">
        <v>5</v>
      </c>
      <c r="D176" t="s">
        <v>75</v>
      </c>
      <c r="E176" s="3">
        <v>3</v>
      </c>
    </row>
    <row r="177" spans="1:5">
      <c r="A177" t="s">
        <v>55</v>
      </c>
      <c r="B177" t="s">
        <v>56</v>
      </c>
      <c r="C177" t="s">
        <v>5</v>
      </c>
      <c r="D177" t="s">
        <v>76</v>
      </c>
      <c r="E177" s="3">
        <v>3</v>
      </c>
    </row>
    <row r="178" spans="1:5">
      <c r="A178" t="s">
        <v>55</v>
      </c>
      <c r="B178" t="s">
        <v>56</v>
      </c>
      <c r="C178" t="s">
        <v>6</v>
      </c>
      <c r="D178" t="s">
        <v>77</v>
      </c>
      <c r="E178" s="3">
        <v>3</v>
      </c>
    </row>
    <row r="179" spans="1:5">
      <c r="A179" t="s">
        <v>55</v>
      </c>
      <c r="B179" t="s">
        <v>56</v>
      </c>
      <c r="C179" t="s">
        <v>6</v>
      </c>
      <c r="D179" t="s">
        <v>78</v>
      </c>
      <c r="E179" s="3">
        <v>4</v>
      </c>
    </row>
    <row r="180" spans="1:5">
      <c r="A180" t="s">
        <v>55</v>
      </c>
      <c r="B180" t="s">
        <v>56</v>
      </c>
      <c r="C180" t="s">
        <v>6</v>
      </c>
      <c r="D180" t="s">
        <v>79</v>
      </c>
      <c r="E180" s="3">
        <v>4</v>
      </c>
    </row>
    <row r="181" spans="1:5">
      <c r="A181" t="s">
        <v>55</v>
      </c>
      <c r="B181" t="s">
        <v>56</v>
      </c>
      <c r="C181" t="s">
        <v>6</v>
      </c>
      <c r="D181" t="s">
        <v>80</v>
      </c>
      <c r="E181" s="3">
        <v>1</v>
      </c>
    </row>
    <row r="182" spans="1:5">
      <c r="A182" t="s">
        <v>58</v>
      </c>
      <c r="B182" t="s">
        <v>59</v>
      </c>
      <c r="C182" t="s">
        <v>4</v>
      </c>
      <c r="D182" t="s">
        <v>69</v>
      </c>
      <c r="E182" s="3">
        <v>4</v>
      </c>
    </row>
    <row r="183" spans="1:5">
      <c r="A183" t="s">
        <v>58</v>
      </c>
      <c r="B183" t="s">
        <v>59</v>
      </c>
      <c r="C183" t="s">
        <v>4</v>
      </c>
      <c r="D183" t="s">
        <v>70</v>
      </c>
      <c r="E183" s="3">
        <v>1</v>
      </c>
    </row>
    <row r="184" spans="1:5">
      <c r="A184" t="s">
        <v>58</v>
      </c>
      <c r="B184" t="s">
        <v>59</v>
      </c>
      <c r="C184" t="s">
        <v>4</v>
      </c>
      <c r="D184" t="s">
        <v>71</v>
      </c>
      <c r="E184" s="3">
        <v>3</v>
      </c>
    </row>
    <row r="185" spans="1:5">
      <c r="A185" t="s">
        <v>58</v>
      </c>
      <c r="B185" t="s">
        <v>59</v>
      </c>
      <c r="C185" t="s">
        <v>4</v>
      </c>
      <c r="D185" t="s">
        <v>72</v>
      </c>
      <c r="E185" s="3">
        <v>3</v>
      </c>
    </row>
    <row r="186" spans="1:5">
      <c r="A186" t="s">
        <v>58</v>
      </c>
      <c r="B186" t="s">
        <v>59</v>
      </c>
      <c r="C186" t="s">
        <v>4</v>
      </c>
      <c r="D186" t="s">
        <v>73</v>
      </c>
      <c r="E186" s="3">
        <v>3</v>
      </c>
    </row>
    <row r="187" spans="1:5">
      <c r="A187" t="s">
        <v>58</v>
      </c>
      <c r="B187" t="s">
        <v>59</v>
      </c>
      <c r="C187" t="s">
        <v>5</v>
      </c>
      <c r="D187" t="s">
        <v>74</v>
      </c>
      <c r="E187" s="3">
        <v>2</v>
      </c>
    </row>
    <row r="188" spans="1:5">
      <c r="A188" t="s">
        <v>58</v>
      </c>
      <c r="B188" t="s">
        <v>59</v>
      </c>
      <c r="C188" t="s">
        <v>5</v>
      </c>
      <c r="D188" t="s">
        <v>75</v>
      </c>
      <c r="E188" s="3">
        <v>4</v>
      </c>
    </row>
    <row r="189" spans="1:5">
      <c r="A189" t="s">
        <v>58</v>
      </c>
      <c r="B189" t="s">
        <v>59</v>
      </c>
      <c r="C189" t="s">
        <v>5</v>
      </c>
      <c r="D189" t="s">
        <v>76</v>
      </c>
      <c r="E189" s="3">
        <v>3</v>
      </c>
    </row>
    <row r="190" spans="1:5">
      <c r="A190" t="s">
        <v>58</v>
      </c>
      <c r="B190" t="s">
        <v>59</v>
      </c>
      <c r="C190" t="s">
        <v>6</v>
      </c>
      <c r="D190" t="s">
        <v>77</v>
      </c>
      <c r="E190" s="3">
        <v>3</v>
      </c>
    </row>
    <row r="191" spans="1:5">
      <c r="A191" t="s">
        <v>58</v>
      </c>
      <c r="B191" t="s">
        <v>59</v>
      </c>
      <c r="C191" t="s">
        <v>6</v>
      </c>
      <c r="D191" t="s">
        <v>78</v>
      </c>
      <c r="E191" s="3">
        <v>5</v>
      </c>
    </row>
    <row r="192" spans="1:5">
      <c r="A192" t="s">
        <v>58</v>
      </c>
      <c r="B192" t="s">
        <v>59</v>
      </c>
      <c r="C192" t="s">
        <v>6</v>
      </c>
      <c r="D192" t="s">
        <v>79</v>
      </c>
      <c r="E192" s="3">
        <v>2</v>
      </c>
    </row>
    <row r="193" spans="1:5">
      <c r="A193" t="s">
        <v>58</v>
      </c>
      <c r="B193" t="s">
        <v>59</v>
      </c>
      <c r="C193" t="s">
        <v>6</v>
      </c>
      <c r="D193" t="s">
        <v>80</v>
      </c>
      <c r="E193" s="3">
        <v>2</v>
      </c>
    </row>
    <row r="194" spans="1:5">
      <c r="A194" t="s">
        <v>60</v>
      </c>
      <c r="B194" t="s">
        <v>61</v>
      </c>
      <c r="C194" t="s">
        <v>4</v>
      </c>
      <c r="D194" t="s">
        <v>69</v>
      </c>
      <c r="E194" s="3">
        <v>4</v>
      </c>
    </row>
    <row r="195" spans="1:5">
      <c r="A195" t="s">
        <v>60</v>
      </c>
      <c r="B195" t="s">
        <v>61</v>
      </c>
      <c r="C195" t="s">
        <v>4</v>
      </c>
      <c r="D195" t="s">
        <v>70</v>
      </c>
      <c r="E195" s="3">
        <v>4</v>
      </c>
    </row>
    <row r="196" spans="1:5">
      <c r="A196" t="s">
        <v>60</v>
      </c>
      <c r="B196" t="s">
        <v>61</v>
      </c>
      <c r="C196" t="s">
        <v>4</v>
      </c>
      <c r="D196" t="s">
        <v>71</v>
      </c>
      <c r="E196" s="3">
        <v>1</v>
      </c>
    </row>
    <row r="197" spans="1:5">
      <c r="A197" t="s">
        <v>60</v>
      </c>
      <c r="B197" t="s">
        <v>61</v>
      </c>
      <c r="C197" t="s">
        <v>4</v>
      </c>
      <c r="D197" t="s">
        <v>72</v>
      </c>
      <c r="E197" s="3">
        <v>2</v>
      </c>
    </row>
    <row r="198" spans="1:5">
      <c r="A198" t="s">
        <v>60</v>
      </c>
      <c r="B198" t="s">
        <v>61</v>
      </c>
      <c r="C198" t="s">
        <v>4</v>
      </c>
      <c r="D198" t="s">
        <v>73</v>
      </c>
      <c r="E198" s="3">
        <v>2</v>
      </c>
    </row>
    <row r="199" spans="1:5">
      <c r="A199" t="s">
        <v>60</v>
      </c>
      <c r="B199" t="s">
        <v>61</v>
      </c>
      <c r="C199" t="s">
        <v>5</v>
      </c>
      <c r="D199" t="s">
        <v>74</v>
      </c>
      <c r="E199" s="3">
        <v>3</v>
      </c>
    </row>
    <row r="200" spans="1:5">
      <c r="A200" t="s">
        <v>60</v>
      </c>
      <c r="B200" t="s">
        <v>61</v>
      </c>
      <c r="C200" t="s">
        <v>5</v>
      </c>
      <c r="D200" t="s">
        <v>75</v>
      </c>
      <c r="E200" s="3">
        <v>3</v>
      </c>
    </row>
    <row r="201" spans="1:5">
      <c r="A201" t="s">
        <v>60</v>
      </c>
      <c r="B201" t="s">
        <v>61</v>
      </c>
      <c r="C201" t="s">
        <v>5</v>
      </c>
      <c r="D201" t="s">
        <v>76</v>
      </c>
      <c r="E201" s="3">
        <v>3</v>
      </c>
    </row>
    <row r="202" spans="1:5">
      <c r="A202" t="s">
        <v>60</v>
      </c>
      <c r="B202" t="s">
        <v>61</v>
      </c>
      <c r="C202" t="s">
        <v>6</v>
      </c>
      <c r="D202" t="s">
        <v>77</v>
      </c>
      <c r="E202" s="3">
        <v>3</v>
      </c>
    </row>
    <row r="203" spans="1:5">
      <c r="A203" t="s">
        <v>60</v>
      </c>
      <c r="B203" t="s">
        <v>61</v>
      </c>
      <c r="C203" t="s">
        <v>6</v>
      </c>
      <c r="D203" t="s">
        <v>78</v>
      </c>
      <c r="E203" s="3">
        <v>5</v>
      </c>
    </row>
    <row r="204" spans="1:5">
      <c r="A204" t="s">
        <v>60</v>
      </c>
      <c r="B204" t="s">
        <v>61</v>
      </c>
      <c r="C204" t="s">
        <v>6</v>
      </c>
      <c r="D204" t="s">
        <v>79</v>
      </c>
      <c r="E204" s="3">
        <v>2</v>
      </c>
    </row>
    <row r="205" spans="1:5">
      <c r="A205" t="s">
        <v>60</v>
      </c>
      <c r="B205" t="s">
        <v>61</v>
      </c>
      <c r="C205" t="s">
        <v>6</v>
      </c>
      <c r="D205" t="s">
        <v>80</v>
      </c>
      <c r="E205" s="3">
        <v>2</v>
      </c>
    </row>
    <row r="206" spans="1:5">
      <c r="A206" t="s">
        <v>63</v>
      </c>
      <c r="B206" t="s">
        <v>64</v>
      </c>
      <c r="C206" t="s">
        <v>4</v>
      </c>
      <c r="D206" t="s">
        <v>69</v>
      </c>
      <c r="E206" s="3">
        <v>5</v>
      </c>
    </row>
    <row r="207" spans="1:5">
      <c r="A207" t="s">
        <v>63</v>
      </c>
      <c r="B207" t="s">
        <v>64</v>
      </c>
      <c r="C207" t="s">
        <v>4</v>
      </c>
      <c r="D207" t="s">
        <v>70</v>
      </c>
      <c r="E207" s="3">
        <v>1</v>
      </c>
    </row>
    <row r="208" spans="1:5">
      <c r="A208" t="s">
        <v>63</v>
      </c>
      <c r="B208" t="s">
        <v>64</v>
      </c>
      <c r="C208" t="s">
        <v>4</v>
      </c>
      <c r="D208" t="s">
        <v>71</v>
      </c>
      <c r="E208" s="3">
        <v>0</v>
      </c>
    </row>
    <row r="209" spans="1:5">
      <c r="A209" t="s">
        <v>63</v>
      </c>
      <c r="B209" t="s">
        <v>64</v>
      </c>
      <c r="C209" t="s">
        <v>4</v>
      </c>
      <c r="D209" t="s">
        <v>72</v>
      </c>
      <c r="E209" s="3">
        <v>0</v>
      </c>
    </row>
    <row r="210" spans="1:5">
      <c r="A210" t="s">
        <v>63</v>
      </c>
      <c r="B210" t="s">
        <v>64</v>
      </c>
      <c r="C210" t="s">
        <v>4</v>
      </c>
      <c r="D210" t="s">
        <v>73</v>
      </c>
      <c r="E210" s="3">
        <v>1</v>
      </c>
    </row>
    <row r="211" spans="1:5">
      <c r="A211" t="s">
        <v>63</v>
      </c>
      <c r="B211" t="s">
        <v>64</v>
      </c>
      <c r="C211" t="s">
        <v>5</v>
      </c>
      <c r="D211" t="s">
        <v>74</v>
      </c>
      <c r="E211" s="3">
        <v>2</v>
      </c>
    </row>
    <row r="212" spans="1:5">
      <c r="A212" t="s">
        <v>63</v>
      </c>
      <c r="B212" t="s">
        <v>64</v>
      </c>
      <c r="C212" t="s">
        <v>5</v>
      </c>
      <c r="D212" t="s">
        <v>75</v>
      </c>
      <c r="E212" s="3">
        <v>2</v>
      </c>
    </row>
    <row r="213" spans="1:5">
      <c r="A213" t="s">
        <v>63</v>
      </c>
      <c r="B213" t="s">
        <v>64</v>
      </c>
      <c r="C213" t="s">
        <v>5</v>
      </c>
      <c r="D213" t="s">
        <v>76</v>
      </c>
      <c r="E213" s="3">
        <v>3</v>
      </c>
    </row>
    <row r="214" spans="1:5">
      <c r="A214" t="s">
        <v>63</v>
      </c>
      <c r="B214" t="s">
        <v>64</v>
      </c>
      <c r="C214" t="s">
        <v>6</v>
      </c>
      <c r="D214" t="s">
        <v>77</v>
      </c>
      <c r="E214" s="3">
        <v>3</v>
      </c>
    </row>
    <row r="215" spans="1:5">
      <c r="A215" t="s">
        <v>63</v>
      </c>
      <c r="B215" t="s">
        <v>64</v>
      </c>
      <c r="C215" t="s">
        <v>6</v>
      </c>
      <c r="D215" t="s">
        <v>78</v>
      </c>
      <c r="E215" s="3">
        <v>4</v>
      </c>
    </row>
    <row r="216" spans="1:5">
      <c r="A216" t="s">
        <v>63</v>
      </c>
      <c r="B216" t="s">
        <v>64</v>
      </c>
      <c r="C216" t="s">
        <v>6</v>
      </c>
      <c r="D216" t="s">
        <v>79</v>
      </c>
      <c r="E216" s="3">
        <v>2</v>
      </c>
    </row>
    <row r="217" spans="1:5">
      <c r="A217" t="s">
        <v>63</v>
      </c>
      <c r="B217" t="s">
        <v>64</v>
      </c>
      <c r="C217" t="s">
        <v>6</v>
      </c>
      <c r="D217" t="s">
        <v>80</v>
      </c>
      <c r="E217" s="3">
        <v>3</v>
      </c>
    </row>
    <row r="218" spans="1:5">
      <c r="A218" t="s">
        <v>97</v>
      </c>
      <c r="B218" t="s">
        <v>99</v>
      </c>
      <c r="C218" t="s">
        <v>4</v>
      </c>
      <c r="D218" t="s">
        <v>69</v>
      </c>
      <c r="E218" s="3">
        <v>4</v>
      </c>
    </row>
    <row r="219" spans="1:5">
      <c r="A219" t="s">
        <v>97</v>
      </c>
      <c r="B219" t="s">
        <v>99</v>
      </c>
      <c r="C219" t="s">
        <v>4</v>
      </c>
      <c r="D219" t="s">
        <v>70</v>
      </c>
      <c r="E219" s="3">
        <v>3</v>
      </c>
    </row>
    <row r="220" spans="1:5">
      <c r="A220" t="s">
        <v>97</v>
      </c>
      <c r="B220" t="s">
        <v>99</v>
      </c>
      <c r="C220" t="s">
        <v>4</v>
      </c>
      <c r="D220" t="s">
        <v>71</v>
      </c>
      <c r="E220" s="3">
        <v>3</v>
      </c>
    </row>
    <row r="221" spans="1:5">
      <c r="A221" t="s">
        <v>97</v>
      </c>
      <c r="B221" t="s">
        <v>99</v>
      </c>
      <c r="C221" t="s">
        <v>4</v>
      </c>
      <c r="D221" t="s">
        <v>72</v>
      </c>
      <c r="E221" s="3">
        <v>2</v>
      </c>
    </row>
    <row r="222" spans="1:5">
      <c r="A222" t="s">
        <v>97</v>
      </c>
      <c r="B222" t="s">
        <v>99</v>
      </c>
      <c r="C222" t="s">
        <v>4</v>
      </c>
      <c r="D222" t="s">
        <v>73</v>
      </c>
      <c r="E222" s="3">
        <v>2</v>
      </c>
    </row>
    <row r="223" spans="1:5">
      <c r="A223" t="s">
        <v>97</v>
      </c>
      <c r="B223" t="s">
        <v>99</v>
      </c>
      <c r="C223" t="s">
        <v>5</v>
      </c>
      <c r="D223" t="s">
        <v>74</v>
      </c>
      <c r="E223" s="3">
        <v>3</v>
      </c>
    </row>
    <row r="224" spans="1:5">
      <c r="A224" t="s">
        <v>97</v>
      </c>
      <c r="B224" t="s">
        <v>99</v>
      </c>
      <c r="C224" t="s">
        <v>5</v>
      </c>
      <c r="D224" t="s">
        <v>75</v>
      </c>
      <c r="E224" s="3">
        <v>3</v>
      </c>
    </row>
    <row r="225" spans="1:5">
      <c r="A225" t="s">
        <v>97</v>
      </c>
      <c r="B225" t="s">
        <v>99</v>
      </c>
      <c r="C225" t="s">
        <v>5</v>
      </c>
      <c r="D225" t="s">
        <v>76</v>
      </c>
      <c r="E225" s="3">
        <v>5</v>
      </c>
    </row>
    <row r="226" spans="1:5">
      <c r="A226" t="s">
        <v>97</v>
      </c>
      <c r="B226" t="s">
        <v>99</v>
      </c>
      <c r="C226" t="s">
        <v>6</v>
      </c>
      <c r="D226" t="s">
        <v>77</v>
      </c>
      <c r="E226" s="3">
        <v>3</v>
      </c>
    </row>
    <row r="227" spans="1:5">
      <c r="A227" t="s">
        <v>97</v>
      </c>
      <c r="B227" t="s">
        <v>99</v>
      </c>
      <c r="C227" t="s">
        <v>6</v>
      </c>
      <c r="D227" t="s">
        <v>78</v>
      </c>
      <c r="E227" s="3">
        <v>5</v>
      </c>
    </row>
    <row r="228" spans="1:5">
      <c r="A228" t="s">
        <v>97</v>
      </c>
      <c r="B228" t="s">
        <v>99</v>
      </c>
      <c r="C228" t="s">
        <v>6</v>
      </c>
      <c r="D228" t="s">
        <v>79</v>
      </c>
      <c r="E228" s="3">
        <v>3</v>
      </c>
    </row>
    <row r="229" spans="1:5">
      <c r="A229" t="s">
        <v>97</v>
      </c>
      <c r="B229" t="s">
        <v>99</v>
      </c>
      <c r="C229" t="s">
        <v>6</v>
      </c>
      <c r="D229" t="s">
        <v>80</v>
      </c>
      <c r="E229" s="3">
        <v>3</v>
      </c>
    </row>
  </sheetData>
  <conditionalFormatting sqref="E2:E229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"/>
  <sheetViews>
    <sheetView workbookViewId="0"/>
  </sheetViews>
  <sheetFormatPr baseColWidth="10" defaultColWidth="8.83203125" defaultRowHeight="15"/>
  <cols>
    <col min="1" max="1" width="10" customWidth="1"/>
    <col min="2" max="2" width="30" customWidth="1"/>
    <col min="3" max="3" width="28" customWidth="1"/>
    <col min="4" max="4" width="12" customWidth="1"/>
  </cols>
  <sheetData>
    <row r="1" spans="1:15" ht="16">
      <c r="A1" s="1" t="s">
        <v>0</v>
      </c>
      <c r="B1" s="1" t="s">
        <v>1</v>
      </c>
      <c r="C1" s="1" t="s">
        <v>81</v>
      </c>
      <c r="D1" s="1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>
      <c r="A2" t="s">
        <v>15</v>
      </c>
      <c r="B2" t="s">
        <v>16</v>
      </c>
      <c r="C2" t="s">
        <v>82</v>
      </c>
      <c r="D2" s="2">
        <v>3.4</v>
      </c>
    </row>
    <row r="3" spans="1:15">
      <c r="A3" t="s">
        <v>20</v>
      </c>
      <c r="B3" t="s">
        <v>21</v>
      </c>
      <c r="C3" t="s">
        <v>82</v>
      </c>
      <c r="D3" s="2">
        <v>3.3</v>
      </c>
    </row>
    <row r="4" spans="1:15">
      <c r="A4" t="s">
        <v>26</v>
      </c>
      <c r="B4" t="s">
        <v>27</v>
      </c>
      <c r="C4" t="s">
        <v>82</v>
      </c>
      <c r="D4" s="2">
        <v>3</v>
      </c>
    </row>
    <row r="5" spans="1:15">
      <c r="A5" t="s">
        <v>28</v>
      </c>
      <c r="B5" t="s">
        <v>29</v>
      </c>
      <c r="C5" t="s">
        <v>82</v>
      </c>
      <c r="D5" s="2">
        <v>3.2</v>
      </c>
    </row>
    <row r="6" spans="1:15">
      <c r="A6" t="s">
        <v>23</v>
      </c>
      <c r="B6" t="s">
        <v>24</v>
      </c>
      <c r="C6" t="s">
        <v>82</v>
      </c>
      <c r="D6" s="2">
        <v>3.3</v>
      </c>
    </row>
    <row r="7" spans="1:15">
      <c r="A7" t="s">
        <v>33</v>
      </c>
      <c r="B7" t="s">
        <v>34</v>
      </c>
      <c r="C7" t="s">
        <v>82</v>
      </c>
      <c r="D7" s="2">
        <v>2.9</v>
      </c>
    </row>
    <row r="8" spans="1:15">
      <c r="A8" t="s">
        <v>36</v>
      </c>
      <c r="B8" t="s">
        <v>37</v>
      </c>
      <c r="C8" t="s">
        <v>82</v>
      </c>
      <c r="D8" s="2">
        <v>3.3</v>
      </c>
    </row>
    <row r="9" spans="1:15">
      <c r="A9" t="s">
        <v>39</v>
      </c>
      <c r="B9" t="s">
        <v>40</v>
      </c>
      <c r="C9" t="s">
        <v>82</v>
      </c>
      <c r="D9" s="2">
        <v>3.1</v>
      </c>
    </row>
    <row r="10" spans="1:15">
      <c r="A10" t="s">
        <v>41</v>
      </c>
      <c r="B10" t="s">
        <v>42</v>
      </c>
      <c r="C10" t="s">
        <v>82</v>
      </c>
      <c r="D10" s="2">
        <v>2.7</v>
      </c>
    </row>
    <row r="11" spans="1:15">
      <c r="A11" t="s">
        <v>44</v>
      </c>
      <c r="B11" t="s">
        <v>45</v>
      </c>
      <c r="C11" t="s">
        <v>82</v>
      </c>
      <c r="D11" s="2">
        <v>3.1</v>
      </c>
    </row>
    <row r="12" spans="1:15">
      <c r="A12" t="s">
        <v>46</v>
      </c>
      <c r="B12" t="s">
        <v>47</v>
      </c>
      <c r="C12" t="s">
        <v>82</v>
      </c>
      <c r="D12" s="2">
        <v>2.8</v>
      </c>
    </row>
    <row r="13" spans="1:15">
      <c r="A13" t="s">
        <v>49</v>
      </c>
      <c r="B13" t="s">
        <v>50</v>
      </c>
      <c r="C13" t="s">
        <v>82</v>
      </c>
      <c r="D13" s="2">
        <v>3.8</v>
      </c>
    </row>
    <row r="14" spans="1:15">
      <c r="A14" t="s">
        <v>55</v>
      </c>
      <c r="B14" t="s">
        <v>56</v>
      </c>
      <c r="C14" t="s">
        <v>82</v>
      </c>
      <c r="D14" s="2">
        <v>3</v>
      </c>
    </row>
    <row r="15" spans="1:15">
      <c r="A15" t="s">
        <v>58</v>
      </c>
      <c r="B15" t="s">
        <v>59</v>
      </c>
      <c r="C15" t="s">
        <v>82</v>
      </c>
      <c r="D15" s="2">
        <v>3.1</v>
      </c>
    </row>
    <row r="16" spans="1:15">
      <c r="A16" t="s">
        <v>60</v>
      </c>
      <c r="B16" t="s">
        <v>61</v>
      </c>
      <c r="C16" t="s">
        <v>82</v>
      </c>
      <c r="D16" s="2">
        <v>3</v>
      </c>
    </row>
    <row r="17" spans="1:4">
      <c r="A17" t="s">
        <v>83</v>
      </c>
      <c r="C17" t="s">
        <v>84</v>
      </c>
      <c r="D17" s="2"/>
    </row>
    <row r="18" spans="1:4">
      <c r="A18" t="s">
        <v>30</v>
      </c>
      <c r="B18" t="s">
        <v>31</v>
      </c>
      <c r="C18" t="s">
        <v>85</v>
      </c>
      <c r="D18" s="2">
        <v>3</v>
      </c>
    </row>
    <row r="19" spans="1:4">
      <c r="A19" t="s">
        <v>52</v>
      </c>
      <c r="B19" t="s">
        <v>53</v>
      </c>
      <c r="C19" t="s">
        <v>85</v>
      </c>
      <c r="D19" s="2">
        <v>2.7</v>
      </c>
    </row>
    <row r="20" spans="1:4">
      <c r="A20" t="s">
        <v>63</v>
      </c>
      <c r="B20" t="s">
        <v>64</v>
      </c>
      <c r="C20" t="s">
        <v>85</v>
      </c>
      <c r="D20" s="2">
        <v>3.3</v>
      </c>
    </row>
  </sheetData>
  <conditionalFormatting sqref="C2:C20">
    <cfRule type="expression" dxfId="1" priority="1">
      <formula>ISNUMBER(SEARCH("Missing",C2))</formula>
    </cfRule>
    <cfRule type="expression" dxfId="0" priority="2">
      <formula>ISNUMBER(SEARCH("Extra",C2))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"/>
  <sheetViews>
    <sheetView workbookViewId="0"/>
  </sheetViews>
  <sheetFormatPr baseColWidth="10" defaultColWidth="8.83203125" defaultRowHeight="15"/>
  <cols>
    <col min="1" max="1" width="22" customWidth="1"/>
    <col min="2" max="2" width="100" customWidth="1"/>
  </cols>
  <sheetData>
    <row r="1" spans="1:15" ht="16">
      <c r="A1" s="1" t="s">
        <v>86</v>
      </c>
      <c r="B1" s="1" t="s">
        <v>87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>
      <c r="A2" t="s">
        <v>14</v>
      </c>
      <c r="B2" t="s">
        <v>88</v>
      </c>
    </row>
    <row r="3" spans="1:15">
      <c r="A3" t="s">
        <v>89</v>
      </c>
      <c r="B3" t="s">
        <v>90</v>
      </c>
    </row>
    <row r="4" spans="1:15">
      <c r="A4" t="s">
        <v>91</v>
      </c>
      <c r="B4" t="s">
        <v>92</v>
      </c>
    </row>
    <row r="5" spans="1:15">
      <c r="A5" t="s">
        <v>93</v>
      </c>
      <c r="B5" t="s">
        <v>94</v>
      </c>
    </row>
    <row r="6" spans="1:15">
      <c r="A6" t="s">
        <v>95</v>
      </c>
      <c r="B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ESG Summary</vt:lpstr>
      <vt:lpstr>Subscores</vt:lpstr>
      <vt:lpstr>Universe Check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Augustin LOIRAT</cp:lastModifiedBy>
  <dcterms:created xsi:type="dcterms:W3CDTF">2026-06-24T09:30:32Z</dcterms:created>
  <dcterms:modified xsi:type="dcterms:W3CDTF">2026-09-02T14:10:28Z</dcterms:modified>
</cp:coreProperties>
</file>